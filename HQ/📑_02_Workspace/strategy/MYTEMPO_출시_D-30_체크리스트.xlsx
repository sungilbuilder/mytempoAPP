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체크리스트" sheetId="2" state="visible" r:id="rId4"/>
    <sheet name="주차별 계획" sheetId="3" state="visible" r:id="rId5"/>
  </sheets>
  <definedNames>
    <definedName function="false" hidden="true" localSheetId="1" name="_xlnm._FilterDatabase" vbProcedure="false">체크리스트!$A$1:$L$124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<sst xmlns="http://schemas.openxmlformats.org/spreadsheetml/2006/main" count="1307" uniqueCount="620">
  <si>
    <r>
      <rPr>
        <b val="true"/>
        <sz val="18"/>
        <color rgb="FF162618"/>
        <rFont val="Arial"/>
        <family val="0"/>
        <charset val="1"/>
      </rPr>
      <t xml:space="preserve">MYTEMPO </t>
    </r>
    <r>
      <rPr>
        <b val="true"/>
        <sz val="18"/>
        <color rgb="FF162618"/>
        <rFont val="Noto Sans CJK SC"/>
        <family val="2"/>
      </rPr>
      <t xml:space="preserve">출시 준비 대시보드</t>
    </r>
  </si>
  <si>
    <r>
      <rPr>
        <sz val="9.5"/>
        <color rgb="FF777777"/>
        <rFont val="Arial"/>
        <family val="0"/>
        <charset val="1"/>
      </rPr>
      <t xml:space="preserve">2026-08-01 </t>
    </r>
    <r>
      <rPr>
        <sz val="9.5"/>
        <color rgb="FF777777"/>
        <rFont val="Noto Sans CJK SC"/>
        <family val="2"/>
      </rPr>
      <t xml:space="preserve">기준 </t>
    </r>
    <r>
      <rPr>
        <sz val="9.5"/>
        <color rgb="FF777777"/>
        <rFont val="Arial"/>
        <family val="0"/>
        <charset val="1"/>
      </rPr>
      <t xml:space="preserve">· </t>
    </r>
    <r>
      <rPr>
        <sz val="9.5"/>
        <color rgb="FF777777"/>
        <rFont val="Noto Sans CJK SC"/>
        <family val="2"/>
      </rPr>
      <t xml:space="preserve">상태를 바꾸면 아래 수치가 자동으로 갱신됩니다</t>
    </r>
  </si>
  <si>
    <t xml:space="preserve">전체 준비율</t>
  </si>
  <si>
    <t xml:space="preserve">완료</t>
  </si>
  <si>
    <t xml:space="preserve">대상</t>
  </si>
  <si>
    <t xml:space="preserve">준비율</t>
  </si>
  <si>
    <t xml:space="preserve">카테고리별</t>
  </si>
  <si>
    <t xml:space="preserve">카테고리</t>
  </si>
  <si>
    <t xml:space="preserve">전체</t>
  </si>
  <si>
    <t xml:space="preserve">진행중</t>
  </si>
  <si>
    <t xml:space="preserve">대기</t>
  </si>
  <si>
    <t xml:space="preserve">차단</t>
  </si>
  <si>
    <t xml:space="preserve">법무</t>
  </si>
  <si>
    <t xml:space="preserve">스토어</t>
  </si>
  <si>
    <t xml:space="preserve">제품</t>
  </si>
  <si>
    <t xml:space="preserve">브랜드</t>
  </si>
  <si>
    <t xml:space="preserve">수익화</t>
  </si>
  <si>
    <t xml:space="preserve">분석</t>
  </si>
  <si>
    <t xml:space="preserve">운영</t>
  </si>
  <si>
    <t xml:space="preserve">출시</t>
  </si>
  <si>
    <t xml:space="preserve">합계</t>
  </si>
  <si>
    <r>
      <rPr>
        <b val="true"/>
        <sz val="11"/>
        <color rgb="FFA83A2E"/>
        <rFont val="Arial"/>
        <family val="0"/>
        <charset val="1"/>
      </rPr>
      <t xml:space="preserve">P0(</t>
    </r>
    <r>
      <rPr>
        <b val="true"/>
        <sz val="11"/>
        <color rgb="FFA83A2E"/>
        <rFont val="Noto Sans CJK SC"/>
        <family val="2"/>
      </rPr>
      <t xml:space="preserve">출시 필수</t>
    </r>
    <r>
      <rPr>
        <b val="true"/>
        <sz val="11"/>
        <color rgb="FFA83A2E"/>
        <rFont val="Arial"/>
        <family val="0"/>
        <charset val="1"/>
      </rPr>
      <t xml:space="preserve">) </t>
    </r>
    <r>
      <rPr>
        <b val="true"/>
        <sz val="11"/>
        <color rgb="FFA83A2E"/>
        <rFont val="Noto Sans CJK SC"/>
        <family val="2"/>
      </rPr>
      <t xml:space="preserve">현황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</si>
  <si>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</si>
  <si>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완료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</si>
  <si>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차단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</si>
  <si>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준비율</t>
    </r>
  </si>
  <si>
    <t xml:space="preserve">읽는 법</t>
  </si>
  <si>
    <r>
      <rPr>
        <sz val="9.5"/>
        <color rgb="FF444444"/>
        <rFont val="Arial"/>
        <family val="0"/>
        <charset val="1"/>
      </rPr>
      <t xml:space="preserve">· </t>
    </r>
    <r>
      <rPr>
        <sz val="9.5"/>
        <color rgb="FF444444"/>
        <rFont val="Noto Sans CJK SC"/>
        <family val="2"/>
      </rPr>
      <t xml:space="preserve">파란 글씨 칸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상태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증빙</t>
    </r>
    <r>
      <rPr>
        <sz val="9.5"/>
        <color rgb="FF444444"/>
        <rFont val="Arial"/>
        <family val="0"/>
        <charset val="1"/>
      </rPr>
      <t xml:space="preserve">·</t>
    </r>
    <r>
      <rPr>
        <sz val="9.5"/>
        <color rgb="FF444444"/>
        <rFont val="Noto Sans CJK SC"/>
        <family val="2"/>
      </rPr>
      <t xml:space="preserve">링크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비고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만 채우면 됩니다</t>
    </r>
    <r>
      <rPr>
        <sz val="9.5"/>
        <color rgb="FF444444"/>
        <rFont val="Arial"/>
        <family val="0"/>
        <charset val="1"/>
      </rPr>
      <t xml:space="preserve">. </t>
    </r>
    <r>
      <rPr>
        <sz val="9.5"/>
        <color rgb="FF444444"/>
        <rFont val="Noto Sans CJK SC"/>
        <family val="2"/>
      </rPr>
      <t xml:space="preserve">나머지는 건드리지 마세요</t>
    </r>
    <r>
      <rPr>
        <sz val="9.5"/>
        <color rgb="FF444444"/>
        <rFont val="Arial"/>
        <family val="0"/>
        <charset val="1"/>
      </rPr>
      <t xml:space="preserve">.</t>
    </r>
  </si>
  <si>
    <r>
      <rPr>
        <sz val="9.5"/>
        <color rgb="FF444444"/>
        <rFont val="Arial"/>
        <family val="0"/>
        <charset val="1"/>
      </rPr>
      <t xml:space="preserve">· </t>
    </r>
    <r>
      <rPr>
        <sz val="9.5"/>
        <color rgb="FF444444"/>
        <rFont val="Noto Sans CJK SC"/>
        <family val="2"/>
      </rPr>
      <t xml:space="preserve">상태는 드롭다운에서 고릅니다 — 완료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진행중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대기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차단 </t>
    </r>
    <r>
      <rPr>
        <sz val="9.5"/>
        <color rgb="FF444444"/>
        <rFont val="Arial"/>
        <family val="0"/>
        <charset val="1"/>
      </rPr>
      <t xml:space="preserve">/ </t>
    </r>
    <r>
      <rPr>
        <sz val="9.5"/>
        <color rgb="FF444444"/>
        <rFont val="Noto Sans CJK SC"/>
        <family val="2"/>
      </rPr>
      <t xml:space="preserve">해당없음</t>
    </r>
    <r>
      <rPr>
        <sz val="9.5"/>
        <color rgb="FF444444"/>
        <rFont val="Arial"/>
        <family val="0"/>
        <charset val="1"/>
      </rPr>
      <t xml:space="preserve">.</t>
    </r>
  </si>
  <si>
    <r>
      <rPr>
        <sz val="9.5"/>
        <color rgb="FF444444"/>
        <rFont val="Arial"/>
        <family val="0"/>
        <charset val="1"/>
      </rPr>
      <t xml:space="preserve">· "</t>
    </r>
    <r>
      <rPr>
        <sz val="9.5"/>
        <color rgb="FF444444"/>
        <rFont val="Noto Sans CJK SC"/>
        <family val="2"/>
      </rPr>
      <t xml:space="preserve">차단</t>
    </r>
    <r>
      <rPr>
        <sz val="9.5"/>
        <color rgb="FF444444"/>
        <rFont val="Arial"/>
        <family val="0"/>
        <charset val="1"/>
      </rPr>
      <t xml:space="preserve">"</t>
    </r>
    <r>
      <rPr>
        <sz val="9.5"/>
        <color rgb="FF444444"/>
        <rFont val="Noto Sans CJK SC"/>
        <family val="2"/>
      </rPr>
      <t xml:space="preserve">은 내가 할 수 없고 다른 사람</t>
    </r>
    <r>
      <rPr>
        <sz val="9.5"/>
        <color rgb="FF444444"/>
        <rFont val="Arial"/>
        <family val="0"/>
        <charset val="1"/>
      </rPr>
      <t xml:space="preserve">·</t>
    </r>
    <r>
      <rPr>
        <sz val="9.5"/>
        <color rgb="FF444444"/>
        <rFont val="Noto Sans CJK SC"/>
        <family val="2"/>
      </rPr>
      <t xml:space="preserve">기관을 기다려야 하는 항목입니다</t>
    </r>
    <r>
      <rPr>
        <sz val="9.5"/>
        <color rgb="FF444444"/>
        <rFont val="Arial"/>
        <family val="0"/>
        <charset val="1"/>
      </rPr>
      <t xml:space="preserve">. </t>
    </r>
    <r>
      <rPr>
        <sz val="9.5"/>
        <color rgb="FF444444"/>
        <rFont val="Noto Sans CJK SC"/>
        <family val="2"/>
      </rPr>
      <t xml:space="preserve">매일 확인하세요</t>
    </r>
    <r>
      <rPr>
        <sz val="9.5"/>
        <color rgb="FF444444"/>
        <rFont val="Arial"/>
        <family val="0"/>
        <charset val="1"/>
      </rPr>
      <t xml:space="preserve">.</t>
    </r>
  </si>
  <si>
    <r>
      <rPr>
        <sz val="9.5"/>
        <color rgb="FF444444"/>
        <rFont val="Arial"/>
        <family val="0"/>
        <charset val="1"/>
      </rPr>
      <t xml:space="preserve">· "</t>
    </r>
    <r>
      <rPr>
        <sz val="9.5"/>
        <color rgb="FF444444"/>
        <rFont val="Noto Sans CJK SC"/>
        <family val="2"/>
      </rPr>
      <t xml:space="preserve">해당없음</t>
    </r>
    <r>
      <rPr>
        <sz val="9.5"/>
        <color rgb="FF444444"/>
        <rFont val="Arial"/>
        <family val="0"/>
        <charset val="1"/>
      </rPr>
      <t xml:space="preserve">"</t>
    </r>
    <r>
      <rPr>
        <sz val="9.5"/>
        <color rgb="FF444444"/>
        <rFont val="Noto Sans CJK SC"/>
        <family val="2"/>
      </rPr>
      <t xml:space="preserve">으로 바꾸면 준비율 분모에서 빠집니다</t>
    </r>
    <r>
      <rPr>
        <sz val="9.5"/>
        <color rgb="FF444444"/>
        <rFont val="Arial"/>
        <family val="0"/>
        <charset val="1"/>
      </rPr>
      <t xml:space="preserve">. </t>
    </r>
    <r>
      <rPr>
        <sz val="9.5"/>
        <color rgb="FF444444"/>
        <rFont val="Noto Sans CJK SC"/>
        <family val="2"/>
      </rPr>
      <t xml:space="preserve">함부로 쓰지 마세요</t>
    </r>
    <r>
      <rPr>
        <sz val="9.5"/>
        <color rgb="FF444444"/>
        <rFont val="Arial"/>
        <family val="0"/>
        <charset val="1"/>
      </rPr>
      <t xml:space="preserve">.</t>
    </r>
  </si>
  <si>
    <r>
      <rPr>
        <sz val="9.5"/>
        <color rgb="FF444444"/>
        <rFont val="Arial"/>
        <family val="0"/>
        <charset val="1"/>
      </rPr>
      <t xml:space="preserve">· P0</t>
    </r>
    <r>
      <rPr>
        <sz val="9.5"/>
        <color rgb="FF444444"/>
        <rFont val="Noto Sans CJK SC"/>
        <family val="2"/>
      </rPr>
      <t xml:space="preserve">가 하나라도 남아 있으면 출시하지 않습니다</t>
    </r>
    <r>
      <rPr>
        <sz val="9.5"/>
        <color rgb="FF444444"/>
        <rFont val="Arial"/>
        <family val="0"/>
        <charset val="1"/>
      </rPr>
      <t xml:space="preserve">. P1/P2</t>
    </r>
    <r>
      <rPr>
        <sz val="9.5"/>
        <color rgb="FF444444"/>
        <rFont val="Noto Sans CJK SC"/>
        <family val="2"/>
      </rPr>
      <t xml:space="preserve">는 출시 후 처리 가능합니다</t>
    </r>
    <r>
      <rPr>
        <sz val="9.5"/>
        <color rgb="FF444444"/>
        <rFont val="Arial"/>
        <family val="0"/>
        <charset val="1"/>
      </rPr>
      <t xml:space="preserve">.</t>
    </r>
  </si>
  <si>
    <r>
      <rPr>
        <sz val="9.5"/>
        <color rgb="FF444444"/>
        <rFont val="Arial"/>
        <family val="0"/>
        <charset val="1"/>
      </rPr>
      <t xml:space="preserve">· </t>
    </r>
    <r>
      <rPr>
        <sz val="9.5"/>
        <color rgb="FF444444"/>
        <rFont val="Noto Sans CJK SC"/>
        <family val="2"/>
      </rPr>
      <t xml:space="preserve">상태는 </t>
    </r>
    <r>
      <rPr>
        <sz val="9.5"/>
        <color rgb="FF444444"/>
        <rFont val="Arial"/>
        <family val="0"/>
        <charset val="1"/>
      </rPr>
      <t xml:space="preserve">2026-08-01 </t>
    </r>
    <r>
      <rPr>
        <sz val="9.5"/>
        <color rgb="FF444444"/>
        <rFont val="Noto Sans CJK SC"/>
        <family val="2"/>
      </rPr>
      <t xml:space="preserve">실제 진행 상황으로 채워져 있습니다</t>
    </r>
    <r>
      <rPr>
        <sz val="9.5"/>
        <color rgb="FF444444"/>
        <rFont val="Arial"/>
        <family val="0"/>
        <charset val="1"/>
      </rPr>
      <t xml:space="preserve">. </t>
    </r>
    <r>
      <rPr>
        <sz val="9.5"/>
        <color rgb="FF444444"/>
        <rFont val="Noto Sans CJK SC"/>
        <family val="2"/>
      </rPr>
      <t xml:space="preserve">추측으로 완료 처리하지 않았습니다</t>
    </r>
    <r>
      <rPr>
        <sz val="9.5"/>
        <color rgb="FF444444"/>
        <rFont val="Arial"/>
        <family val="0"/>
        <charset val="1"/>
      </rPr>
      <t xml:space="preserve">.</t>
    </r>
  </si>
  <si>
    <t xml:space="preserve">ID</t>
  </si>
  <si>
    <t xml:space="preserve">영역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</si>
  <si>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</si>
  <si>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완료 기준 </t>
    </r>
    <r>
      <rPr>
        <b val="true"/>
        <sz val="10"/>
        <color rgb="FFFFFFFF"/>
        <rFont val="Arial"/>
        <family val="0"/>
        <charset val="1"/>
      </rPr>
      <t xml:space="preserve">(Definition of Done)</t>
    </r>
  </si>
  <si>
    <t xml:space="preserve">안 하면 생기는 일</t>
  </si>
  <si>
    <t xml:space="preserve">담당</t>
  </si>
  <si>
    <t xml:space="preserve">우선순위</t>
  </si>
  <si>
    <r>
      <rPr>
        <b val="true"/>
        <sz val="10"/>
        <color rgb="FFFFFFFF"/>
        <rFont val="Noto Sans CJK SC"/>
        <family val="2"/>
      </rPr>
      <t xml:space="preserve">목표 </t>
    </r>
    <r>
      <rPr>
        <b val="true"/>
        <sz val="10"/>
        <color rgb="FFFFFFFF"/>
        <rFont val="Arial"/>
        <family val="0"/>
        <charset val="1"/>
      </rPr>
      <t xml:space="preserve">D-day</t>
    </r>
  </si>
  <si>
    <t xml:space="preserve">상태</t>
  </si>
  <si>
    <r>
      <rPr>
        <b val="true"/>
        <sz val="10"/>
        <color rgb="FFFFFFFF"/>
        <rFont val="Noto Sans CJK SC"/>
        <family val="2"/>
      </rPr>
      <t xml:space="preserve">증빙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링크</t>
    </r>
  </si>
  <si>
    <t xml:space="preserve">비고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</si>
  <si>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001</t>
    </r>
  </si>
  <si>
    <t xml:space="preserve">상표</t>
  </si>
  <si>
    <r>
      <rPr>
        <sz val="9.5"/>
        <rFont val="Noto Sans CJK SC"/>
        <family val="2"/>
      </rPr>
      <t xml:space="preserve">마이템포</t>
    </r>
    <r>
      <rPr>
        <sz val="9.5"/>
        <rFont val="Arial"/>
        <family val="0"/>
        <charset val="1"/>
      </rPr>
      <t xml:space="preserve">/MYTEMPO </t>
    </r>
    <r>
      <rPr>
        <sz val="9.5"/>
        <rFont val="Noto Sans CJK SC"/>
        <family val="2"/>
      </rPr>
      <t xml:space="preserve">키프리스 상표 검색</t>
    </r>
  </si>
  <si>
    <r>
      <rPr>
        <sz val="9.5"/>
        <rFont val="Noto Sans CJK SC"/>
        <family val="2"/>
      </rPr>
      <t xml:space="preserve">특허청 키프리스에서 동일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유사 상표 조회 결과를 캡처로 보관</t>
    </r>
  </si>
  <si>
    <t xml:space="preserve">출시 후 상표권 분쟁 시 앱 이름을 통째로 바꿔야 함</t>
  </si>
  <si>
    <t xml:space="preserve">golf-legal-privacy</t>
  </si>
  <si>
    <t xml:space="preserve">P0</t>
  </si>
  <si>
    <t xml:space="preserve">D-28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</si>
  <si>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002</t>
    </r>
  </si>
  <si>
    <r>
      <rPr>
        <sz val="9.5"/>
        <rFont val="Noto Sans CJK SC"/>
        <family val="2"/>
      </rPr>
      <t xml:space="preserve">상표 출원 여부 결정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출원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보류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</si>
  <si>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출원한다면 출원번호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보류한다면 보류 사유를 문서로 남김</t>
    </r>
  </si>
  <si>
    <t xml:space="preserve">판단 근거가 없으면 나중에 같은 논의를 반복함</t>
  </si>
  <si>
    <t xml:space="preserve">창업자</t>
  </si>
  <si>
    <t xml:space="preserve">P1</t>
  </si>
  <si>
    <t xml:space="preserve">D-25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</si>
  <si>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003</t>
    </r>
  </si>
  <si>
    <r>
      <rPr>
        <sz val="9.5"/>
        <rFont val="Noto Sans CJK SC"/>
        <family val="2"/>
      </rPr>
      <t xml:space="preserve">골프 관련 기존 상표 저촉 확인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그린</t>
    </r>
    <r>
      <rPr>
        <sz val="9.5"/>
        <rFont val="Arial"/>
        <family val="0"/>
        <charset val="1"/>
      </rPr>
      <t xml:space="preserve">+</t>
    </r>
    <r>
      <rPr>
        <sz val="9.5"/>
        <rFont val="Noto Sans CJK SC"/>
        <family val="2"/>
      </rPr>
      <t xml:space="preserve">골드 조합 포함</t>
    </r>
    <r>
      <rPr>
        <sz val="9.5"/>
        <rFont val="Arial"/>
        <family val="0"/>
        <charset val="1"/>
      </rPr>
      <t xml:space="preserve">)</t>
    </r>
  </si>
  <si>
    <t xml:space="preserve">오거스타 내셔널 등 색상 상표 이슈 재확인 결과 기록</t>
  </si>
  <si>
    <r>
      <rPr>
        <sz val="9.5"/>
        <rFont val="Arial"/>
        <family val="0"/>
        <charset val="1"/>
      </rPr>
      <t xml:space="preserve">2026-07-30</t>
    </r>
    <r>
      <rPr>
        <sz val="9.5"/>
        <rFont val="Noto Sans CJK SC"/>
        <family val="2"/>
      </rPr>
      <t xml:space="preserve">에 마스터즈 그린을 피한 판단의 근거가 문서에만 있고 재검증 안 됨</t>
    </r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</si>
  <si>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004</t>
    </r>
  </si>
  <si>
    <t xml:space="preserve">개인정보</t>
  </si>
  <si>
    <t xml:space="preserve">개인정보처리방침 본문 최종 검토</t>
  </si>
  <si>
    <r>
      <rPr>
        <sz val="9.5"/>
        <rFont val="Noto Sans CJK SC"/>
        <family val="2"/>
      </rPr>
      <t xml:space="preserve">수집 항목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보관 기간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자 제공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문의처가 실제 앱 동작과 일치</t>
    </r>
  </si>
  <si>
    <r>
      <rPr>
        <sz val="9.5"/>
        <rFont val="Noto Sans CJK SC"/>
        <family val="2"/>
      </rPr>
      <t xml:space="preserve">실제와 다르면 스토어 심사 거절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법적 리스크</t>
    </r>
  </si>
  <si>
    <t xml:space="preserve">D-21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</si>
  <si>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005</t>
    </r>
  </si>
  <si>
    <r>
      <rPr>
        <sz val="9.5"/>
        <rFont val="Noto Sans CJK SC"/>
        <family val="2"/>
      </rPr>
      <t xml:space="preserve">개인정보처리방침 공개 </t>
    </r>
    <r>
      <rPr>
        <sz val="9.5"/>
        <rFont val="Arial"/>
        <family val="0"/>
        <charset val="1"/>
      </rPr>
      <t xml:space="preserve">URL </t>
    </r>
    <r>
      <rPr>
        <sz val="9.5"/>
        <rFont val="Noto Sans CJK SC"/>
        <family val="2"/>
      </rPr>
      <t xml:space="preserve">확보</t>
    </r>
  </si>
  <si>
    <r>
      <rPr>
        <sz val="9.5"/>
        <rFont val="Arial"/>
        <family val="0"/>
        <charset val="1"/>
      </rPr>
      <t xml:space="preserve">Notion Share to web </t>
    </r>
    <r>
      <rPr>
        <sz val="9.5"/>
        <rFont val="Noto Sans CJK SC"/>
        <family val="2"/>
      </rPr>
      <t xml:space="preserve">활성화 후 접속 가능한 </t>
    </r>
    <r>
      <rPr>
        <sz val="9.5"/>
        <rFont val="Arial"/>
        <family val="0"/>
        <charset val="1"/>
      </rPr>
      <t xml:space="preserve">https URL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</si>
  <si>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콘솔 필수 입력값이라 이게 없으면 제출 자체가 불가</t>
    </r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</si>
  <si>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006</t>
    </r>
  </si>
  <si>
    <r>
      <rPr>
        <sz val="9.5"/>
        <rFont val="Arial"/>
        <family val="0"/>
        <charset val="1"/>
      </rPr>
      <t xml:space="preserve">PostHog </t>
    </r>
    <r>
      <rPr>
        <sz val="9.5"/>
        <rFont val="Noto Sans CJK SC"/>
        <family val="2"/>
      </rPr>
      <t xml:space="preserve">도입 시 처리방침 갱신</t>
    </r>
  </si>
  <si>
    <r>
      <rPr>
        <sz val="9.5"/>
        <rFont val="Noto Sans CJK SC"/>
        <family val="2"/>
      </rPr>
      <t xml:space="preserve">수집 이벤트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보관기간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해외이전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미국 서버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명시</t>
    </r>
  </si>
  <si>
    <t xml:space="preserve">계측 도입 후 방침 갱신을 잊으면 고지 누락</t>
  </si>
  <si>
    <t xml:space="preserve">D-14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</si>
  <si>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007</t>
    </r>
  </si>
  <si>
    <t xml:space="preserve">약관</t>
  </si>
  <si>
    <t xml:space="preserve">이용약관 초안 작성</t>
  </si>
  <si>
    <r>
      <rPr>
        <sz val="9.5"/>
        <rFont val="Noto Sans CJK SC"/>
        <family val="2"/>
      </rPr>
      <t xml:space="preserve">서비스 범위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유료 결제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환불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면책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준거법 포함</t>
    </r>
  </si>
  <si>
    <r>
      <rPr>
        <sz val="9.5"/>
        <rFont val="Arial"/>
        <family val="0"/>
        <charset val="1"/>
      </rPr>
      <t xml:space="preserve">Lifetime </t>
    </r>
    <r>
      <rPr>
        <sz val="9.5"/>
        <rFont val="Noto Sans CJK SC"/>
        <family val="2"/>
      </rPr>
      <t xml:space="preserve">결제가 있는 이상 약관 없이 파는 건 위험</t>
    </r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</si>
  <si>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008</t>
    </r>
  </si>
  <si>
    <r>
      <rPr>
        <sz val="9.5"/>
        <rFont val="Noto Sans CJK SC"/>
        <family val="2"/>
      </rPr>
      <t xml:space="preserve">환불 정책 명시 </t>
    </r>
    <r>
      <rPr>
        <sz val="9.5"/>
        <rFont val="Arial"/>
        <family val="0"/>
        <charset val="1"/>
      </rPr>
      <t xml:space="preserve">(Play </t>
    </r>
    <r>
      <rPr>
        <sz val="9.5"/>
        <rFont val="Noto Sans CJK SC"/>
        <family val="2"/>
      </rPr>
      <t xml:space="preserve">정책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전자상거래법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</si>
  <si>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자동환불 </t>
    </r>
    <r>
      <rPr>
        <sz val="9.5"/>
        <rFont val="Arial"/>
        <family val="0"/>
        <charset val="1"/>
      </rPr>
      <t xml:space="preserve">48</t>
    </r>
    <r>
      <rPr>
        <sz val="9.5"/>
        <rFont val="Noto Sans CJK SC"/>
        <family val="2"/>
      </rPr>
      <t xml:space="preserve">시간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국내법상 청약철회 기간을 약관에 반영</t>
    </r>
  </si>
  <si>
    <t xml:space="preserve">분쟁 시 방어 근거가 없음</t>
  </si>
  <si>
    <t xml:space="preserve">D-18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</si>
  <si>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009</t>
    </r>
  </si>
  <si>
    <r>
      <rPr>
        <sz val="9.5"/>
        <rFont val="Noto Sans CJK SC"/>
        <family val="2"/>
      </rPr>
      <t xml:space="preserve">이용약관 공개 </t>
    </r>
    <r>
      <rPr>
        <sz val="9.5"/>
        <rFont val="Arial"/>
        <family val="0"/>
        <charset val="1"/>
      </rPr>
      <t xml:space="preserve">URL </t>
    </r>
    <r>
      <rPr>
        <sz val="9.5"/>
        <rFont val="Noto Sans CJK SC"/>
        <family val="2"/>
      </rPr>
      <t xml:space="preserve">확보</t>
    </r>
  </si>
  <si>
    <t xml:space="preserve">앱 내 설정과 스토어 양쪽에서 접근 가능</t>
  </si>
  <si>
    <t xml:space="preserve">약관은 있는데 볼 수 없으면 없는 것과 같음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</si>
  <si>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010</t>
    </r>
  </si>
  <si>
    <t xml:space="preserve">규제</t>
  </si>
  <si>
    <r>
      <rPr>
        <sz val="9.5"/>
        <rFont val="Arial"/>
        <family val="0"/>
        <charset val="1"/>
      </rPr>
      <t xml:space="preserve">2025-02 </t>
    </r>
    <r>
      <rPr>
        <sz val="9.5"/>
        <rFont val="Noto Sans CJK SC"/>
        <family val="2"/>
      </rPr>
      <t xml:space="preserve">전자상거래법 다크패턴 금지 항목 자체 점검</t>
    </r>
  </si>
  <si>
    <r>
      <rPr>
        <sz val="9.5"/>
        <rFont val="Noto Sans CJK SC"/>
        <family val="2"/>
      </rPr>
      <t xml:space="preserve">가격 표시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해지 경로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자동갱신 여부를 체크리스트로 대조</t>
    </r>
  </si>
  <si>
    <r>
      <rPr>
        <sz val="9.5"/>
        <rFont val="Noto Sans CJK SC"/>
        <family val="2"/>
      </rPr>
      <t xml:space="preserve">우리는 </t>
    </r>
    <r>
      <rPr>
        <sz val="9.5"/>
        <rFont val="Arial"/>
        <family val="0"/>
        <charset val="1"/>
      </rPr>
      <t xml:space="preserve">Lifetime</t>
    </r>
    <r>
      <rPr>
        <sz val="9.5"/>
        <rFont val="Noto Sans CJK SC"/>
        <family val="2"/>
      </rPr>
      <t xml:space="preserve">이라 유리하지만 표시 의무는 여전히 적용</t>
    </r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</si>
  <si>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011</t>
    </r>
  </si>
  <si>
    <t xml:space="preserve">라이선스</t>
  </si>
  <si>
    <t xml:space="preserve">오픈소스 폰트 라이선스 고지 정확성 재확인</t>
  </si>
  <si>
    <t xml:space="preserve">설정 화면 고지 문구가 실제 번들된 폰트와 일치</t>
  </si>
  <si>
    <r>
      <rPr>
        <sz val="9.5"/>
        <rFont val="Arial"/>
        <family val="0"/>
        <charset val="1"/>
      </rPr>
      <t xml:space="preserve">2026-07-31</t>
    </r>
    <r>
      <rPr>
        <sz val="9.5"/>
        <rFont val="Noto Sans CJK SC"/>
        <family val="2"/>
      </rPr>
      <t xml:space="preserve">에 실제로 불일치했던 전례가 있음</t>
    </r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</si>
  <si>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012</t>
    </r>
  </si>
  <si>
    <r>
      <rPr>
        <sz val="9.5"/>
        <rFont val="Arial"/>
        <family val="0"/>
        <charset val="1"/>
      </rPr>
      <t xml:space="preserve">npm </t>
    </r>
    <r>
      <rPr>
        <sz val="9.5"/>
        <rFont val="Noto Sans CJK SC"/>
        <family val="2"/>
      </rPr>
      <t xml:space="preserve">의존성 라이선스 전수 점검</t>
    </r>
  </si>
  <si>
    <r>
      <rPr>
        <sz val="9.5"/>
        <rFont val="Arial"/>
        <family val="0"/>
        <charset val="1"/>
      </rPr>
      <t xml:space="preserve">GPL/AGPL </t>
    </r>
    <r>
      <rPr>
        <sz val="9.5"/>
        <rFont val="Noto Sans CJK SC"/>
        <family val="2"/>
      </rPr>
      <t xml:space="preserve">계열 포함 여부 확인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결과표 보관</t>
    </r>
  </si>
  <si>
    <t xml:space="preserve">상용 배포 불가 라이선스가 섞이면 출시 후 회수</t>
  </si>
  <si>
    <r>
      <rPr>
        <sz val="9.5"/>
        <rFont val="Noto Sans CJK SC"/>
        <family val="2"/>
      </rPr>
      <t xml:space="preserve">법</t>
    </r>
    <r>
      <rPr>
        <sz val="9.5"/>
        <rFont val="Arial"/>
        <family val="0"/>
        <charset val="1"/>
      </rPr>
      <t xml:space="preserve">013</t>
    </r>
  </si>
  <si>
    <t xml:space="preserve">콘텐츠</t>
  </si>
  <si>
    <r>
      <rPr>
        <sz val="9.5"/>
        <rFont val="Noto Sans CJK SC"/>
        <family val="2"/>
      </rPr>
      <t xml:space="preserve">앱 내 사용 이미지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사운드 권리 확인</t>
    </r>
  </si>
  <si>
    <t xml:space="preserve">자체 제작 또는 로열티프리 증빙 보관</t>
  </si>
  <si>
    <t xml:space="preserve">사운드는 전부 자체 합성이므로 증빙 문서만 남기면 됨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</si>
  <si>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014</t>
    </r>
  </si>
  <si>
    <t xml:space="preserve">계정</t>
  </si>
  <si>
    <r>
      <rPr>
        <sz val="9.5"/>
        <rFont val="Arial"/>
        <family val="0"/>
        <charset val="1"/>
      </rPr>
      <t xml:space="preserve">Google Play </t>
    </r>
    <r>
      <rPr>
        <sz val="9.5"/>
        <rFont val="Noto Sans CJK SC"/>
        <family val="2"/>
      </rPr>
      <t xml:space="preserve">개발자 계정 등록 </t>
    </r>
    <r>
      <rPr>
        <sz val="9.5"/>
        <rFont val="Arial"/>
        <family val="0"/>
        <charset val="1"/>
      </rPr>
      <t xml:space="preserve">($25)</t>
    </r>
  </si>
  <si>
    <r>
      <rPr>
        <sz val="9.5"/>
        <rFont val="Noto Sans CJK SC"/>
        <family val="2"/>
      </rPr>
      <t xml:space="preserve">계정 승인 완료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결제 완료</t>
    </r>
  </si>
  <si>
    <r>
      <rPr>
        <sz val="9.5"/>
        <rFont val="Noto Sans CJK SC"/>
        <family val="2"/>
      </rPr>
      <t xml:space="preserve">이게 없으면 아무것도 못 올림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승인에 수일 걸릴 수 있어 가장 먼저</t>
    </r>
  </si>
  <si>
    <t xml:space="preserve">D-30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</si>
  <si>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015</t>
    </r>
  </si>
  <si>
    <r>
      <rPr>
        <sz val="9.5"/>
        <rFont val="Noto Sans CJK SC"/>
        <family val="2"/>
      </rPr>
      <t xml:space="preserve">개발자 신원 확인</t>
    </r>
    <r>
      <rPr>
        <sz val="9.5"/>
        <rFont val="Arial"/>
        <family val="0"/>
        <charset val="1"/>
      </rPr>
      <t xml:space="preserve">(D-U-N-S </t>
    </r>
    <r>
      <rPr>
        <sz val="9.5"/>
        <rFont val="Noto Sans CJK SC"/>
        <family val="2"/>
      </rPr>
      <t xml:space="preserve">또는 개인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완료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</si>
  <si>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콘솔 신원 확인 절차 통과</t>
    </r>
  </si>
  <si>
    <r>
      <rPr>
        <sz val="9.5"/>
        <rFont val="Arial"/>
        <family val="0"/>
        <charset val="1"/>
      </rPr>
      <t xml:space="preserve">2023</t>
    </r>
    <r>
      <rPr>
        <sz val="9.5"/>
        <rFont val="Noto Sans CJK SC"/>
        <family val="2"/>
      </rPr>
      <t xml:space="preserve">년 이후 필수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미완료 시 앱 게시 차단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</si>
  <si>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016</t>
    </r>
  </si>
  <si>
    <r>
      <rPr>
        <sz val="9.5"/>
        <rFont val="Noto Sans CJK SC"/>
        <family val="2"/>
      </rPr>
      <t xml:space="preserve">개발자 프로필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공개 표시명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연락처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주소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작성</t>
    </r>
  </si>
  <si>
    <t xml:space="preserve">스토어에 노출될 개발자 정보 확정</t>
  </si>
  <si>
    <t xml:space="preserve">개인 주소가 공개될 수 있어 사전 확인 필요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</si>
  <si>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017</t>
    </r>
  </si>
  <si>
    <r>
      <rPr>
        <sz val="9.5"/>
        <rFont val="Arial"/>
        <family val="0"/>
        <charset val="1"/>
      </rPr>
      <t xml:space="preserve">2</t>
    </r>
    <r>
      <rPr>
        <sz val="9.5"/>
        <rFont val="Noto Sans CJK SC"/>
        <family val="2"/>
      </rPr>
      <t xml:space="preserve">단계 인증 활성화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</si>
  <si>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콘솔 계정 </t>
    </r>
    <r>
      <rPr>
        <sz val="9.5"/>
        <rFont val="Arial"/>
        <family val="0"/>
        <charset val="1"/>
      </rPr>
      <t xml:space="preserve">2FA </t>
    </r>
    <r>
      <rPr>
        <sz val="9.5"/>
        <rFont val="Noto Sans CJK SC"/>
        <family val="2"/>
      </rPr>
      <t xml:space="preserve">설정</t>
    </r>
  </si>
  <si>
    <t xml:space="preserve">계정 탈취 시 앱을 통째로 잃음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</si>
  <si>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018</t>
    </r>
  </si>
  <si>
    <t xml:space="preserve">앱설정</t>
  </si>
  <si>
    <r>
      <rPr>
        <sz val="9.5"/>
        <rFont val="Noto Sans CJK SC"/>
        <family val="2"/>
      </rPr>
      <t xml:space="preserve">앱 이름</t>
    </r>
    <r>
      <rPr>
        <sz val="9.5"/>
        <rFont val="Arial"/>
        <family val="0"/>
        <charset val="1"/>
      </rPr>
      <t xml:space="preserve">(30</t>
    </r>
    <r>
      <rPr>
        <sz val="9.5"/>
        <rFont val="Noto Sans CJK SC"/>
        <family val="2"/>
      </rPr>
      <t xml:space="preserve">자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최종 확정</t>
    </r>
  </si>
  <si>
    <r>
      <rPr>
        <sz val="9.5"/>
        <rFont val="Noto Sans CJK SC"/>
        <family val="2"/>
      </rPr>
      <t xml:space="preserve">한글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영문 표기 및 부제 확정</t>
    </r>
  </si>
  <si>
    <r>
      <rPr>
        <sz val="9.5"/>
        <rFont val="Noto Sans CJK SC"/>
        <family val="2"/>
      </rPr>
      <t xml:space="preserve">앱 이름은 검색 노출의 절반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나중에 바꾸면 인지도 리셋</t>
    </r>
  </si>
  <si>
    <t xml:space="preserve">golf-growth-marketer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</si>
  <si>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019</t>
    </r>
  </si>
  <si>
    <r>
      <rPr>
        <sz val="9.5"/>
        <rFont val="Noto Sans CJK SC"/>
        <family val="2"/>
      </rPr>
      <t xml:space="preserve">간단한 설명</t>
    </r>
    <r>
      <rPr>
        <sz val="9.5"/>
        <rFont val="Arial"/>
        <family val="0"/>
        <charset val="1"/>
      </rPr>
      <t xml:space="preserve">(80</t>
    </r>
    <r>
      <rPr>
        <sz val="9.5"/>
        <rFont val="Noto Sans CJK SC"/>
        <family val="2"/>
      </rPr>
      <t xml:space="preserve">자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작성</t>
    </r>
  </si>
  <si>
    <t xml:space="preserve">핵심 가치가 한 줄에 들어감</t>
  </si>
  <si>
    <t xml:space="preserve">검색 결과에서 실제로 읽히는 유일한 문장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</si>
  <si>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020</t>
    </r>
  </si>
  <si>
    <r>
      <rPr>
        <sz val="9.5"/>
        <rFont val="Noto Sans CJK SC"/>
        <family val="2"/>
      </rPr>
      <t xml:space="preserve">자세한 설명</t>
    </r>
    <r>
      <rPr>
        <sz val="9.5"/>
        <rFont val="Arial"/>
        <family val="0"/>
        <charset val="1"/>
      </rPr>
      <t xml:space="preserve">(4000</t>
    </r>
    <r>
      <rPr>
        <sz val="9.5"/>
        <rFont val="Noto Sans CJK SC"/>
        <family val="2"/>
      </rPr>
      <t xml:space="preserve">자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작성</t>
    </r>
  </si>
  <si>
    <r>
      <rPr>
        <sz val="9.5"/>
        <rFont val="Noto Sans CJK SC"/>
        <family val="2"/>
      </rPr>
      <t xml:space="preserve">브랜드 톤 유지 </t>
    </r>
    <r>
      <rPr>
        <sz val="9.5"/>
        <rFont val="Arial"/>
        <family val="0"/>
        <charset val="1"/>
      </rPr>
      <t xml:space="preserve">+ ASO </t>
    </r>
    <r>
      <rPr>
        <sz val="9.5"/>
        <rFont val="Noto Sans CJK SC"/>
        <family val="2"/>
      </rPr>
      <t xml:space="preserve">키워드 포함</t>
    </r>
  </si>
  <si>
    <r>
      <rPr>
        <sz val="9.5"/>
        <rFont val="Noto Sans CJK SC"/>
        <family val="2"/>
      </rPr>
      <t xml:space="preserve">기능 나열이 아니라 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내 최고의 스윙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서사로 써야 함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</si>
  <si>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021</t>
    </r>
  </si>
  <si>
    <r>
      <rPr>
        <sz val="9.5"/>
        <rFont val="Arial"/>
        <family val="0"/>
        <charset val="1"/>
      </rPr>
      <t xml:space="preserve">ASO </t>
    </r>
    <r>
      <rPr>
        <sz val="9.5"/>
        <rFont val="Noto Sans CJK SC"/>
        <family val="2"/>
      </rPr>
      <t xml:space="preserve">키워드 리서치</t>
    </r>
  </si>
  <si>
    <r>
      <rPr>
        <sz val="9.5"/>
        <rFont val="Noto Sans CJK SC"/>
        <family val="2"/>
      </rPr>
      <t xml:space="preserve">골프 템포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스윙 리듬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메트로놈 등 검색량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경쟁도 조사</t>
    </r>
  </si>
  <si>
    <t xml:space="preserve">아무도 검색하지 않는 단어로 최적화하면 무의미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</si>
  <si>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022</t>
    </r>
  </si>
  <si>
    <t xml:space="preserve">자산</t>
  </si>
  <si>
    <r>
      <rPr>
        <sz val="9.5"/>
        <rFont val="Noto Sans CJK SC"/>
        <family val="2"/>
      </rPr>
      <t xml:space="preserve">앱 아이콘 </t>
    </r>
    <r>
      <rPr>
        <sz val="9.5"/>
        <rFont val="Arial"/>
        <family val="0"/>
        <charset val="1"/>
      </rPr>
      <t xml:space="preserve">512x512 (32bit PNG)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</si>
  <si>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규격 통과</t>
    </r>
  </si>
  <si>
    <t xml:space="preserve">완료 상태이나 최종 규격 재확인 필요</t>
  </si>
  <si>
    <t xml:space="preserve">golf-ux-designer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</si>
  <si>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023</t>
    </r>
  </si>
  <si>
    <r>
      <rPr>
        <sz val="9.5"/>
        <rFont val="Arial"/>
        <family val="0"/>
        <charset val="1"/>
      </rPr>
      <t xml:space="preserve">Feature Graphic 1024x500 </t>
    </r>
    <r>
      <rPr>
        <sz val="9.5"/>
        <rFont val="Noto Sans CJK SC"/>
        <family val="2"/>
      </rPr>
      <t xml:space="preserve">제작</t>
    </r>
  </si>
  <si>
    <r>
      <rPr>
        <sz val="9.5"/>
        <rFont val="Noto Sans CJK SC"/>
        <family val="2"/>
      </rPr>
      <t xml:space="preserve">브랜드 마크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한 줄 카피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</si>
  <si>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상단에 크게 노출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없으면 추천 노출 자체가 안 됨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</si>
  <si>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024</t>
    </r>
  </si>
  <si>
    <r>
      <rPr>
        <sz val="9.5"/>
        <rFont val="Noto Sans CJK SC"/>
        <family val="2"/>
      </rPr>
      <t xml:space="preserve">폰 스크린샷 최소 </t>
    </r>
    <r>
      <rPr>
        <sz val="9.5"/>
        <rFont val="Arial"/>
        <family val="0"/>
        <charset val="1"/>
      </rPr>
      <t xml:space="preserve">4</t>
    </r>
    <r>
      <rPr>
        <sz val="9.5"/>
        <rFont val="Noto Sans CJK SC"/>
        <family val="2"/>
      </rPr>
      <t xml:space="preserve">장 </t>
    </r>
    <r>
      <rPr>
        <sz val="9.5"/>
        <rFont val="Arial"/>
        <family val="0"/>
        <charset val="1"/>
      </rPr>
      <t xml:space="preserve">(2~8</t>
    </r>
    <r>
      <rPr>
        <sz val="9.5"/>
        <rFont val="Noto Sans CJK SC"/>
        <family val="2"/>
      </rPr>
      <t xml:space="preserve">장 권장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</si>
  <si>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실기기 캡처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첫 장에 핵심 가치</t>
    </r>
  </si>
  <si>
    <r>
      <rPr>
        <sz val="9.5"/>
        <rFont val="Noto Sans CJK SC"/>
        <family val="2"/>
      </rPr>
      <t xml:space="preserve">스크린샷 </t>
    </r>
    <r>
      <rPr>
        <sz val="9.5"/>
        <rFont val="Arial"/>
        <family val="0"/>
        <charset val="1"/>
      </rPr>
      <t xml:space="preserve">1~2</t>
    </r>
    <r>
      <rPr>
        <sz val="9.5"/>
        <rFont val="Noto Sans CJK SC"/>
        <family val="2"/>
      </rPr>
      <t xml:space="preserve">장이 설치 결정의 대부분을 좌우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</si>
  <si>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025</t>
    </r>
  </si>
  <si>
    <r>
      <rPr>
        <sz val="9.5"/>
        <rFont val="Noto Sans CJK SC"/>
        <family val="2"/>
      </rPr>
      <t xml:space="preserve">스크린샷 캡션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프레임 디자인</t>
    </r>
  </si>
  <si>
    <r>
      <rPr>
        <sz val="9.5"/>
        <rFont val="Noto Sans CJK SC"/>
        <family val="2"/>
      </rPr>
      <t xml:space="preserve">각 장에 한 줄 설명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브랜드 컬러 프레임</t>
    </r>
  </si>
  <si>
    <t xml:space="preserve">맨 스크린샷만 올리면 무엇을 보는지 알 수 없음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</si>
  <si>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026</t>
    </r>
  </si>
  <si>
    <r>
      <rPr>
        <sz val="9.5"/>
        <rFont val="Noto Sans CJK SC"/>
        <family val="2"/>
      </rPr>
      <t xml:space="preserve">태블릿 스크린샷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선택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</si>
  <si>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7</t>
    </r>
    <r>
      <rPr>
        <sz val="9.5"/>
        <rFont val="Noto Sans CJK SC"/>
        <family val="2"/>
      </rPr>
      <t xml:space="preserve">인치</t>
    </r>
    <r>
      <rPr>
        <sz val="9.5"/>
        <rFont val="Arial"/>
        <family val="0"/>
        <charset val="1"/>
      </rPr>
      <t xml:space="preserve">/10</t>
    </r>
    <r>
      <rPr>
        <sz val="9.5"/>
        <rFont val="Noto Sans CJK SC"/>
        <family val="2"/>
      </rPr>
      <t xml:space="preserve">인치 대응 여부 결정</t>
    </r>
  </si>
  <si>
    <t xml:space="preserve">미대응 시 태블릿 검색에서 노출 불이익</t>
  </si>
  <si>
    <t xml:space="preserve">P2</t>
  </si>
  <si>
    <t xml:space="preserve">D-10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</si>
  <si>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027</t>
    </r>
  </si>
  <si>
    <r>
      <rPr>
        <sz val="9.5"/>
        <rFont val="Noto Sans CJK SC"/>
        <family val="2"/>
      </rPr>
      <t xml:space="preserve">프로모션 영상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선택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</si>
  <si>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30</t>
    </r>
    <r>
      <rPr>
        <sz val="9.5"/>
        <rFont val="Noto Sans CJK SC"/>
        <family val="2"/>
      </rPr>
      <t xml:space="preserve">초 내외 유튜브 링크</t>
    </r>
  </si>
  <si>
    <r>
      <rPr>
        <sz val="9.5"/>
        <rFont val="Noto Sans CJK SC"/>
        <family val="2"/>
      </rPr>
      <t xml:space="preserve">있으면 전환율 상승</t>
    </r>
    <r>
      <rPr>
        <sz val="9.5"/>
        <rFont val="Arial"/>
        <family val="0"/>
        <charset val="1"/>
      </rPr>
      <t xml:space="preserve">. v1</t>
    </r>
    <r>
      <rPr>
        <sz val="9.5"/>
        <rFont val="Noto Sans CJK SC"/>
        <family val="2"/>
      </rPr>
      <t xml:space="preserve">에는 없어도 됨</t>
    </r>
  </si>
  <si>
    <t xml:space="preserve">D-7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</si>
  <si>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028</t>
    </r>
  </si>
  <si>
    <t xml:space="preserve">정책</t>
  </si>
  <si>
    <r>
      <rPr>
        <sz val="9.5"/>
        <rFont val="Noto Sans CJK SC"/>
        <family val="2"/>
      </rPr>
      <t xml:space="preserve">데이터 안전</t>
    </r>
    <r>
      <rPr>
        <sz val="9.5"/>
        <rFont val="Arial"/>
        <family val="0"/>
        <charset val="1"/>
      </rPr>
      <t xml:space="preserve">(Data Safety) </t>
    </r>
    <r>
      <rPr>
        <sz val="9.5"/>
        <rFont val="Noto Sans CJK SC"/>
        <family val="2"/>
      </rPr>
      <t xml:space="preserve">섹션 작성</t>
    </r>
  </si>
  <si>
    <r>
      <rPr>
        <sz val="9.5"/>
        <rFont val="Noto Sans CJK SC"/>
        <family val="2"/>
      </rPr>
      <t xml:space="preserve">수집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공유 데이터를 실제 코드와 대조해 신고</t>
    </r>
  </si>
  <si>
    <r>
      <rPr>
        <sz val="9.5"/>
        <rFont val="Noto Sans CJK SC"/>
        <family val="2"/>
      </rPr>
      <t xml:space="preserve">허위 신고는 앱 삭제 사유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가장 자주 놓치는 항목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</si>
  <si>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029</t>
    </r>
  </si>
  <si>
    <t xml:space="preserve">콘텐츠 등급 설문 완료</t>
  </si>
  <si>
    <r>
      <rPr>
        <sz val="9.5"/>
        <rFont val="Arial"/>
        <family val="0"/>
        <charset val="1"/>
      </rPr>
      <t xml:space="preserve">IARC </t>
    </r>
    <r>
      <rPr>
        <sz val="9.5"/>
        <rFont val="Noto Sans CJK SC"/>
        <family val="2"/>
      </rPr>
      <t xml:space="preserve">설문 제출 후 등급 수령</t>
    </r>
  </si>
  <si>
    <t xml:space="preserve">미완료 시 게시 불가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</si>
  <si>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030</t>
    </r>
  </si>
  <si>
    <r>
      <rPr>
        <sz val="9.5"/>
        <rFont val="Noto Sans CJK SC"/>
        <family val="2"/>
      </rPr>
      <t xml:space="preserve">타겟 고객층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연령대 설정</t>
    </r>
  </si>
  <si>
    <r>
      <rPr>
        <sz val="9.5"/>
        <rFont val="Noto Sans CJK SC"/>
        <family val="2"/>
      </rPr>
      <t xml:space="preserve">만 </t>
    </r>
    <r>
      <rPr>
        <sz val="9.5"/>
        <rFont val="Arial"/>
        <family val="0"/>
        <charset val="1"/>
      </rPr>
      <t xml:space="preserve">13</t>
    </r>
    <r>
      <rPr>
        <sz val="9.5"/>
        <rFont val="Noto Sans CJK SC"/>
        <family val="2"/>
      </rPr>
      <t xml:space="preserve">세 이상 등 확정</t>
    </r>
  </si>
  <si>
    <t xml:space="preserve">아동 대상으로 잘못 설정하면 추가 규제 적용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</si>
  <si>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031</t>
    </r>
  </si>
  <si>
    <r>
      <rPr>
        <sz val="9.5"/>
        <rFont val="Noto Sans CJK SC"/>
        <family val="2"/>
      </rPr>
      <t xml:space="preserve">광고 포함 여부 신고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광고 없음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</si>
  <si>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광고 포함 안 함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선택</t>
    </r>
  </si>
  <si>
    <t xml:space="preserve">우리는 광고 없음이 브랜드 약속이므로 정확히 신고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</si>
  <si>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032</t>
    </r>
  </si>
  <si>
    <r>
      <rPr>
        <sz val="9.5"/>
        <rFont val="Noto Sans CJK SC"/>
        <family val="2"/>
      </rPr>
      <t xml:space="preserve">카테고리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태그 선정</t>
    </r>
  </si>
  <si>
    <r>
      <rPr>
        <sz val="9.5"/>
        <rFont val="Noto Sans CJK SC"/>
        <family val="2"/>
      </rPr>
      <t xml:space="preserve">스포츠 </t>
    </r>
    <r>
      <rPr>
        <sz val="9.5"/>
        <rFont val="Arial"/>
        <family val="0"/>
        <charset val="1"/>
      </rPr>
      <t xml:space="preserve">vs </t>
    </r>
    <r>
      <rPr>
        <sz val="9.5"/>
        <rFont val="Noto Sans CJK SC"/>
        <family val="2"/>
      </rPr>
      <t xml:space="preserve">건강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피트니스 중 선택 근거 기록</t>
    </r>
  </si>
  <si>
    <t xml:space="preserve">카테고리 순위 경쟁 강도가 완전히 다름</t>
  </si>
  <si>
    <t xml:space="preserve">golf-business-strategist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</si>
  <si>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033</t>
    </r>
  </si>
  <si>
    <t xml:space="preserve">앱 접근 권한 설명 제출</t>
  </si>
  <si>
    <t xml:space="preserve">갤러리 권한이 왜 필요한지 심사자에게 설명</t>
  </si>
  <si>
    <t xml:space="preserve">권한 사유가 불명확하면 거절 사유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</si>
  <si>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034</t>
    </r>
  </si>
  <si>
    <t xml:space="preserve">제출</t>
  </si>
  <si>
    <t xml:space="preserve">내부 테스트 트랙에 첫 빌드 업로드</t>
  </si>
  <si>
    <r>
      <rPr>
        <sz val="9.5"/>
        <rFont val="Noto Sans CJK SC"/>
        <family val="2"/>
      </rPr>
      <t xml:space="preserve">테스터 계정에서 설치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실행 확인</t>
    </r>
  </si>
  <si>
    <t xml:space="preserve">프로덕션 직행은 절대 금지</t>
  </si>
  <si>
    <t xml:space="preserve">golf-mobile-developer</t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</si>
  <si>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035</t>
    </r>
  </si>
  <si>
    <r>
      <rPr>
        <sz val="9.5"/>
        <rFont val="Noto Sans CJK SC"/>
        <family val="2"/>
      </rPr>
      <t xml:space="preserve">비공개 테스트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클로즈드 베타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트랙 구성</t>
    </r>
  </si>
  <si>
    <r>
      <rPr>
        <sz val="9.5"/>
        <rFont val="Noto Sans CJK SC"/>
        <family val="2"/>
      </rPr>
      <t xml:space="preserve">안드로이드 사용자 </t>
    </r>
    <r>
      <rPr>
        <sz val="9.5"/>
        <rFont val="Arial"/>
        <family val="0"/>
        <charset val="1"/>
      </rPr>
      <t xml:space="preserve">10~20</t>
    </r>
    <r>
      <rPr>
        <sz val="9.5"/>
        <rFont val="Noto Sans CJK SC"/>
        <family val="2"/>
      </rPr>
      <t xml:space="preserve">명 초대</t>
    </r>
  </si>
  <si>
    <r>
      <rPr>
        <sz val="9.5"/>
        <rFont val="Noto Sans CJK SC"/>
        <family val="2"/>
      </rPr>
      <t xml:space="preserve">길</t>
    </r>
    <r>
      <rPr>
        <sz val="9.5"/>
        <rFont val="Arial"/>
        <family val="0"/>
        <charset val="1"/>
      </rPr>
      <t xml:space="preserve">B</t>
    </r>
    <r>
      <rPr>
        <sz val="9.5"/>
        <rFont val="Noto Sans CJK SC"/>
        <family val="2"/>
      </rPr>
      <t xml:space="preserve">의 최대 리스크인 리텐션 미검증을 완화하는 유일한 수단</t>
    </r>
  </si>
  <si>
    <r>
      <rPr>
        <sz val="9.5"/>
        <rFont val="Noto Sans CJK SC"/>
        <family val="2"/>
      </rPr>
      <t xml:space="preserve">스</t>
    </r>
    <r>
      <rPr>
        <sz val="9.5"/>
        <rFont val="Arial"/>
        <family val="0"/>
        <charset val="1"/>
      </rPr>
      <t xml:space="preserve">036</t>
    </r>
  </si>
  <si>
    <t xml:space="preserve">사전 등록 여부 결정</t>
  </si>
  <si>
    <r>
      <rPr>
        <sz val="9.5"/>
        <rFont val="Noto Sans CJK SC"/>
        <family val="2"/>
      </rPr>
      <t xml:space="preserve">사용할지 말지 판단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근거 기록</t>
    </r>
  </si>
  <si>
    <t xml:space="preserve">기대만큼 효과 없을 수 있어 판단 필요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</si>
  <si>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037</t>
    </r>
  </si>
  <si>
    <t xml:space="preserve">미구현</t>
  </si>
  <si>
    <t xml:space="preserve">스윙 삭제 기능 구현</t>
  </si>
  <si>
    <r>
      <rPr>
        <sz val="9.5"/>
        <rFont val="Noto Sans CJK SC"/>
        <family val="2"/>
      </rPr>
      <t xml:space="preserve">내 스윙 목록에서 개별 삭제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확인 다이얼로그</t>
    </r>
  </si>
  <si>
    <t xml:space="preserve">잘못 저장한 스윙을 지울 수 없으면 목록이 쓰레기통이 됨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</si>
  <si>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038</t>
    </r>
  </si>
  <si>
    <t xml:space="preserve">결과 화면 버튼 좌우 배치로 변경</t>
  </si>
  <si>
    <r>
      <rPr>
        <sz val="9.5"/>
        <rFont val="Noto Sans CJK SC"/>
        <family val="2"/>
      </rPr>
      <t xml:space="preserve">두 액션을 가로 </t>
    </r>
    <r>
      <rPr>
        <sz val="9.5"/>
        <rFont val="Arial"/>
        <family val="0"/>
        <charset val="1"/>
      </rPr>
      <t xml:space="preserve">2</t>
    </r>
    <r>
      <rPr>
        <sz val="9.5"/>
        <rFont val="Noto Sans CJK SC"/>
        <family val="2"/>
      </rPr>
      <t xml:space="preserve">분할로 재배치</t>
    </r>
  </si>
  <si>
    <t xml:space="preserve">현재 상하 배치라 비교가 어렵다는 창업자 지적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</si>
  <si>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039</t>
    </r>
  </si>
  <si>
    <r>
      <rPr>
        <sz val="9.5"/>
        <rFont val="Noto Sans CJK SC"/>
        <family val="2"/>
      </rPr>
      <t xml:space="preserve">카운트인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초 → </t>
    </r>
    <r>
      <rPr>
        <sz val="9.5"/>
        <rFont val="Arial"/>
        <family val="0"/>
        <charset val="1"/>
      </rPr>
      <t xml:space="preserve">5</t>
    </r>
    <r>
      <rPr>
        <sz val="9.5"/>
        <rFont val="Noto Sans CJK SC"/>
        <family val="2"/>
      </rPr>
      <t xml:space="preserve">초로 연장</t>
    </r>
  </si>
  <si>
    <t xml:space="preserve">샷 사이클 계산식과 안내 문구 동시 반영</t>
  </si>
  <si>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초는 어드레스를 잡기에 짧다는 창업자 판단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</si>
  <si>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040</t>
    </r>
  </si>
  <si>
    <t xml:space="preserve">연습 정지 시 홈으로 이동</t>
  </si>
  <si>
    <t xml:space="preserve">정지 후 스윙 등록 화면이 아니라 홈으로</t>
  </si>
  <si>
    <t xml:space="preserve">현재 이전 화면으로 돌아가 흐름이 끊김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</si>
  <si>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041</t>
    </r>
  </si>
  <si>
    <t xml:space="preserve">사운드</t>
  </si>
  <si>
    <t xml:space="preserve">연습 소리 톤앤매너 재설계</t>
  </si>
  <si>
    <r>
      <rPr>
        <sz val="9.5"/>
        <rFont val="Noto Sans CJK SC"/>
        <family val="2"/>
      </rPr>
      <t xml:space="preserve">음색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음정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음량을 브랜드 기준으로 정의한 문서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재생성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</si>
  <si>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브랜드와 안 맞는 소리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라는 외부 지적을 받은 상태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</si>
  <si>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042</t>
    </r>
  </si>
  <si>
    <t xml:space="preserve">사운드 아이덴티티 가이드 문서화</t>
  </si>
  <si>
    <r>
      <rPr>
        <sz val="9.5"/>
        <rFont val="Noto Sans CJK SC"/>
        <family val="2"/>
      </rPr>
      <t xml:space="preserve">기준 음정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감쇠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음량</t>
    </r>
    <r>
      <rPr>
        <sz val="9.5"/>
        <rFont val="Arial"/>
        <family val="0"/>
        <charset val="1"/>
      </rPr>
      <t xml:space="preserve">(RMS)·</t>
    </r>
    <r>
      <rPr>
        <sz val="9.5"/>
        <rFont val="Noto Sans CJK SC"/>
        <family val="2"/>
      </rPr>
      <t xml:space="preserve">금지 사항 정의</t>
    </r>
  </si>
  <si>
    <t xml:space="preserve">기준이 없으면 팩을 추가할 때마다 톤이 흔들림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</si>
  <si>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043</t>
    </r>
  </si>
  <si>
    <t xml:space="preserve">부채</t>
  </si>
  <si>
    <r>
      <rPr>
        <sz val="9.5"/>
        <rFont val="Arial"/>
        <family val="0"/>
        <charset val="1"/>
      </rPr>
      <t xml:space="preserve">app/(tabs)/practice </t>
    </r>
    <r>
      <rPr>
        <sz val="9.5"/>
        <rFont val="Noto Sans CJK SC"/>
        <family val="2"/>
      </rPr>
      <t xml:space="preserve">폴더 삭제</t>
    </r>
  </si>
  <si>
    <r>
      <rPr>
        <sz val="9.5"/>
        <rFont val="Noto Sans CJK SC"/>
        <family val="2"/>
      </rPr>
      <t xml:space="preserve">폴더 삭제 </t>
    </r>
    <r>
      <rPr>
        <sz val="9.5"/>
        <rFont val="Arial"/>
        <family val="0"/>
        <charset val="1"/>
      </rPr>
      <t xml:space="preserve">+ _layout.tsx</t>
    </r>
    <r>
      <rPr>
        <sz val="9.5"/>
        <rFont val="Noto Sans CJK SC"/>
        <family val="2"/>
      </rPr>
      <t xml:space="preserve">의 </t>
    </r>
    <r>
      <rPr>
        <sz val="9.5"/>
        <rFont val="Arial"/>
        <family val="0"/>
        <charset val="1"/>
      </rPr>
      <t xml:space="preserve">Tabs.Screen </t>
    </r>
    <r>
      <rPr>
        <sz val="9.5"/>
        <rFont val="Noto Sans CJK SC"/>
        <family val="2"/>
      </rPr>
      <t xml:space="preserve">라인 제거</t>
    </r>
  </si>
  <si>
    <t xml:space="preserve">무한 루프의 진짜 원인이었던 파일이 아직 남아 있음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</si>
  <si>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044</t>
    </r>
  </si>
  <si>
    <r>
      <rPr>
        <sz val="9.5"/>
        <rFont val="Arial"/>
        <family val="0"/>
        <charset val="1"/>
      </rPr>
      <t xml:space="preserve">--legacy-peer-deps </t>
    </r>
    <r>
      <rPr>
        <sz val="9.5"/>
        <rFont val="Noto Sans CJK SC"/>
        <family val="2"/>
      </rPr>
      <t xml:space="preserve">없이 설치되도록 의존성 정리</t>
    </r>
  </si>
  <si>
    <r>
      <rPr>
        <sz val="9.5"/>
        <rFont val="Arial"/>
        <family val="0"/>
        <charset val="1"/>
      </rPr>
      <t xml:space="preserve">clean install</t>
    </r>
    <r>
      <rPr>
        <sz val="9.5"/>
        <rFont val="Noto Sans CJK SC"/>
        <family val="2"/>
      </rPr>
      <t xml:space="preserve">이 플래그 없이 통과</t>
    </r>
  </si>
  <si>
    <r>
      <rPr>
        <sz val="9.5"/>
        <rFont val="Arial"/>
        <family val="0"/>
        <charset val="1"/>
      </rPr>
      <t xml:space="preserve">CI/</t>
    </r>
    <r>
      <rPr>
        <sz val="9.5"/>
        <rFont val="Noto Sans CJK SC"/>
        <family val="2"/>
      </rPr>
      <t xml:space="preserve">빌드 환경에서 재현 불가한 실패의 원인이 됨</t>
    </r>
  </si>
  <si>
    <t xml:space="preserve">golf-mobile-architect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</si>
  <si>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045</t>
    </r>
  </si>
  <si>
    <t xml:space="preserve">품질</t>
  </si>
  <si>
    <r>
      <rPr>
        <sz val="9.5"/>
        <rFont val="Noto Sans CJK SC"/>
        <family val="2"/>
      </rPr>
      <t xml:space="preserve">실기기 크래시 </t>
    </r>
    <r>
      <rPr>
        <sz val="9.5"/>
        <rFont val="Arial"/>
        <family val="0"/>
        <charset val="1"/>
      </rPr>
      <t xml:space="preserve">0</t>
    </r>
    <r>
      <rPr>
        <sz val="9.5"/>
        <rFont val="Noto Sans CJK SC"/>
        <family val="2"/>
      </rPr>
      <t xml:space="preserve">건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안드로이드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기종 이상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</si>
  <si>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각 기종에서 전체 플로우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회 완주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크래시 로그 없음</t>
    </r>
  </si>
  <si>
    <r>
      <rPr>
        <sz val="9.5"/>
        <rFont val="Arial"/>
        <family val="0"/>
        <charset val="1"/>
      </rPr>
      <t xml:space="preserve">v1 KPI</t>
    </r>
    <r>
      <rPr>
        <sz val="9.5"/>
        <rFont val="Noto Sans CJK SC"/>
        <family val="2"/>
      </rPr>
      <t xml:space="preserve">인 크래시 프리 </t>
    </r>
    <r>
      <rPr>
        <sz val="9.5"/>
        <rFont val="Arial"/>
        <family val="0"/>
        <charset val="1"/>
      </rPr>
      <t xml:space="preserve">99.5%</t>
    </r>
    <r>
      <rPr>
        <sz val="9.5"/>
        <rFont val="Noto Sans CJK SC"/>
        <family val="2"/>
      </rPr>
      <t xml:space="preserve">의 최소 전제</t>
    </r>
  </si>
  <si>
    <t xml:space="preserve">golf-qa-tester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</si>
  <si>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046</t>
    </r>
  </si>
  <si>
    <r>
      <rPr>
        <sz val="9.5"/>
        <rFont val="Arial"/>
        <family val="0"/>
        <charset val="1"/>
      </rPr>
      <t xml:space="preserve">QA </t>
    </r>
    <r>
      <rPr>
        <sz val="9.5"/>
        <rFont val="Noto Sans CJK SC"/>
        <family val="2"/>
      </rPr>
      <t xml:space="preserve">선행 검증 </t>
    </r>
    <r>
      <rPr>
        <sz val="9.5"/>
        <rFont val="Arial"/>
        <family val="0"/>
        <charset val="1"/>
      </rPr>
      <t xml:space="preserve">7</t>
    </r>
    <r>
      <rPr>
        <sz val="9.5"/>
        <rFont val="Noto Sans CJK SC"/>
        <family val="2"/>
      </rPr>
      <t xml:space="preserve">항목 전체 통과</t>
    </r>
  </si>
  <si>
    <r>
      <rPr>
        <sz val="9.5"/>
        <rFont val="Arial"/>
        <family val="0"/>
        <charset val="1"/>
      </rPr>
      <t xml:space="preserve">typecheck 0</t>
    </r>
    <r>
      <rPr>
        <sz val="9.5"/>
        <rFont val="Noto Sans CJK SC"/>
        <family val="2"/>
      </rPr>
      <t xml:space="preserve">에러 포함 </t>
    </r>
    <r>
      <rPr>
        <sz val="9.5"/>
        <rFont val="Arial"/>
        <family val="0"/>
        <charset val="1"/>
      </rPr>
      <t xml:space="preserve">7</t>
    </r>
    <r>
      <rPr>
        <sz val="9.5"/>
        <rFont val="Noto Sans CJK SC"/>
        <family val="2"/>
      </rPr>
      <t xml:space="preserve">항목 체크 결과 기록</t>
    </r>
  </si>
  <si>
    <r>
      <rPr>
        <sz val="9.5"/>
        <rFont val="Arial"/>
        <family val="0"/>
        <charset val="1"/>
      </rPr>
      <t xml:space="preserve">2026-08-01</t>
    </r>
    <r>
      <rPr>
        <sz val="9.5"/>
        <rFont val="Noto Sans CJK SC"/>
        <family val="2"/>
      </rPr>
      <t xml:space="preserve">에 도입한 프로세스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지키지 않으면 도입 의미 없음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</si>
  <si>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047</t>
    </r>
  </si>
  <si>
    <r>
      <rPr>
        <sz val="9.5"/>
        <rFont val="Noto Sans CJK SC"/>
        <family val="2"/>
      </rPr>
      <t xml:space="preserve">샷 간격 </t>
    </r>
    <r>
      <rPr>
        <sz val="9.5"/>
        <rFont val="Arial"/>
        <family val="0"/>
        <charset val="1"/>
      </rPr>
      <t xml:space="preserve">25</t>
    </r>
    <r>
      <rPr>
        <sz val="9.5"/>
        <rFont val="Noto Sans CJK SC"/>
        <family val="2"/>
      </rPr>
      <t xml:space="preserve">초 실사용 검증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실내 연습장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</si>
  <si>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실제 타석에서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세션 이상 사용 후 소감 기록</t>
    </r>
  </si>
  <si>
    <t xml:space="preserve">현재 값은 코치 추정이지 측정값이 아님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</si>
  <si>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048</t>
    </r>
  </si>
  <si>
    <r>
      <rPr>
        <sz val="9.5"/>
        <rFont val="Noto Sans CJK SC"/>
        <family val="2"/>
      </rPr>
      <t xml:space="preserve">조용한 대기 구간에서 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멈춘 것 같다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느낌 여부 확인</t>
    </r>
  </si>
  <si>
    <r>
      <rPr>
        <sz val="9.5"/>
        <rFont val="Noto Sans CJK SC"/>
        <family val="2"/>
      </rPr>
      <t xml:space="preserve">실사용자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명 이상 피드백</t>
    </r>
  </si>
  <si>
    <r>
      <rPr>
        <sz val="9.5"/>
        <rFont val="Arial"/>
        <family val="0"/>
        <charset val="1"/>
      </rPr>
      <t xml:space="preserve">20</t>
    </r>
    <r>
      <rPr>
        <sz val="9.5"/>
        <rFont val="Noto Sans CJK SC"/>
        <family val="2"/>
      </rPr>
      <t xml:space="preserve">초 무음은 고장으로 오해될 수 있는 구조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</si>
  <si>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049</t>
    </r>
  </si>
  <si>
    <t xml:space="preserve">오디오 루프 경계 끊김 검증</t>
  </si>
  <si>
    <r>
      <rPr>
        <sz val="9.5"/>
        <rFont val="Noto Sans CJK SC"/>
        <family val="2"/>
      </rPr>
      <t xml:space="preserve">연속 모드 </t>
    </r>
    <r>
      <rPr>
        <sz val="9.5"/>
        <rFont val="Arial"/>
        <family val="0"/>
        <charset val="1"/>
      </rPr>
      <t xml:space="preserve">5</t>
    </r>
    <r>
      <rPr>
        <sz val="9.5"/>
        <rFont val="Noto Sans CJK SC"/>
        <family val="2"/>
      </rPr>
      <t xml:space="preserve">분 재생 중 박자 이탈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갭 없음</t>
    </r>
  </si>
  <si>
    <r>
      <rPr>
        <sz val="9.5"/>
        <rFont val="Arial"/>
        <family val="0"/>
        <charset val="1"/>
      </rPr>
      <t xml:space="preserve">expo-audio </t>
    </r>
    <r>
      <rPr>
        <sz val="9.5"/>
        <rFont val="Noto Sans CJK SC"/>
        <family val="2"/>
      </rPr>
      <t xml:space="preserve">전환 후 실기기 미검증 상태로 남아 있음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</si>
  <si>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050</t>
    </r>
  </si>
  <si>
    <t xml:space="preserve">배속 변경 시 음 높이 유지 확인</t>
  </si>
  <si>
    <r>
      <rPr>
        <sz val="9.5"/>
        <rFont val="Arial"/>
        <family val="0"/>
        <charset val="1"/>
      </rPr>
      <t xml:space="preserve">0.83~1.18x </t>
    </r>
    <r>
      <rPr>
        <sz val="9.5"/>
        <rFont val="Noto Sans CJK SC"/>
        <family val="2"/>
      </rPr>
      <t xml:space="preserve">전 구간에서 음색 변화 없음</t>
    </r>
  </si>
  <si>
    <r>
      <rPr>
        <sz val="9.5"/>
        <rFont val="Arial"/>
        <family val="0"/>
        <charset val="1"/>
      </rPr>
      <t xml:space="preserve">shouldCorrectPitch </t>
    </r>
    <r>
      <rPr>
        <sz val="9.5"/>
        <rFont val="Noto Sans CJK SC"/>
        <family val="2"/>
      </rPr>
      <t xml:space="preserve">실동작은 기기별로 다를 수 있음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</si>
  <si>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051</t>
    </r>
  </si>
  <si>
    <t xml:space="preserve">프레임 단위 탐색 정확도 기종별 확인</t>
  </si>
  <si>
    <r>
      <rPr>
        <sz val="9.5"/>
        <rFont val="Noto Sans CJK SC"/>
        <family val="2"/>
      </rPr>
      <t xml:space="preserve">최소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기종에서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프레임 이동이 실제로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프레임</t>
    </r>
  </si>
  <si>
    <r>
      <rPr>
        <sz val="9.5"/>
        <rFont val="Noto Sans CJK SC"/>
        <family val="2"/>
      </rPr>
      <t xml:space="preserve">안드로이드 코덱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키프레임 간격에 따라 실패 가능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</si>
  <si>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052</t>
    </r>
  </si>
  <si>
    <t xml:space="preserve">저사양 기기 동작 확인</t>
  </si>
  <si>
    <r>
      <rPr>
        <sz val="9.5"/>
        <rFont val="Arial"/>
        <family val="0"/>
        <charset val="1"/>
      </rPr>
      <t xml:space="preserve">RAM 4GB</t>
    </r>
    <r>
      <rPr>
        <sz val="9.5"/>
        <rFont val="Noto Sans CJK SC"/>
        <family val="2"/>
      </rPr>
      <t xml:space="preserve">급에서 영상 마킹 수행</t>
    </r>
  </si>
  <si>
    <t xml:space="preserve">영상 처리는 저사양에서 먼저 깨짐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</si>
  <si>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053</t>
    </r>
  </si>
  <si>
    <t xml:space="preserve">다크모드 전 화면 점검</t>
  </si>
  <si>
    <r>
      <rPr>
        <sz val="9.5"/>
        <rFont val="Noto Sans CJK SC"/>
        <family val="2"/>
      </rPr>
      <t xml:space="preserve">모든 화면에서 대비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가독성 확인</t>
    </r>
  </si>
  <si>
    <t xml:space="preserve">테마 토글은 있는데 일부 화면만 검증됨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</si>
  <si>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054</t>
    </r>
  </si>
  <si>
    <t xml:space="preserve">한글 줄바꿈 전 화면 점검</t>
  </si>
  <si>
    <t xml:space="preserve">단어 중간 잘림 없음</t>
  </si>
  <si>
    <r>
      <rPr>
        <sz val="9.5"/>
        <rFont val="Arial"/>
        <family val="0"/>
        <charset val="1"/>
      </rPr>
      <t xml:space="preserve">koreanWrap </t>
    </r>
    <r>
      <rPr>
        <sz val="9.5"/>
        <rFont val="Noto Sans CJK SC"/>
        <family val="2"/>
      </rPr>
      <t xml:space="preserve">적용 누락 화면이 있을 수 있음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</si>
  <si>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055</t>
    </r>
  </si>
  <si>
    <t xml:space="preserve">시스템 글꼴 확대 설정에서 레이아웃 확인</t>
  </si>
  <si>
    <r>
      <rPr>
        <sz val="9.5"/>
        <rFont val="Arial"/>
        <family val="0"/>
        <charset val="1"/>
      </rPr>
      <t xml:space="preserve">200% </t>
    </r>
    <r>
      <rPr>
        <sz val="9.5"/>
        <rFont val="Noto Sans CJK SC"/>
        <family val="2"/>
      </rPr>
      <t xml:space="preserve">확대 시 텍스트 잘림 없음</t>
    </r>
  </si>
  <si>
    <r>
      <rPr>
        <sz val="9.5"/>
        <rFont val="Noto Sans CJK SC"/>
        <family val="2"/>
      </rPr>
      <t xml:space="preserve">접근성 이슈이자 실제 </t>
    </r>
    <r>
      <rPr>
        <sz val="9.5"/>
        <rFont val="Arial"/>
        <family val="0"/>
        <charset val="1"/>
      </rPr>
      <t xml:space="preserve">5060 </t>
    </r>
    <r>
      <rPr>
        <sz val="9.5"/>
        <rFont val="Noto Sans CJK SC"/>
        <family val="2"/>
      </rPr>
      <t xml:space="preserve">사용자 이탈 요인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</si>
  <si>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056</t>
    </r>
  </si>
  <si>
    <t xml:space="preserve">오프라인 동작 확인</t>
  </si>
  <si>
    <t xml:space="preserve">비행기 모드에서 전 기능 정상</t>
  </si>
  <si>
    <r>
      <rPr>
        <sz val="9.5"/>
        <rFont val="Noto Sans CJK SC"/>
        <family val="2"/>
      </rPr>
      <t xml:space="preserve">서버 없는 구조의 최대 강점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반드시 증명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</si>
  <si>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057</t>
    </r>
  </si>
  <si>
    <r>
      <rPr>
        <sz val="9.5"/>
        <rFont val="Noto Sans CJK SC"/>
        <family val="2"/>
      </rPr>
      <t xml:space="preserve">백그라운드 전환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복귀 시 상태 유지</t>
    </r>
  </si>
  <si>
    <t xml:space="preserve">재생 중 홈 버튼 → 복귀 시 오동작 없음</t>
  </si>
  <si>
    <t xml:space="preserve">오디오 앱의 가장 흔한 버그 지점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</si>
  <si>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058</t>
    </r>
  </si>
  <si>
    <t xml:space="preserve">전화 수신 등 오디오 인터럽트 처리</t>
  </si>
  <si>
    <t xml:space="preserve">통화 후 앱 오디오가 정상 복구</t>
  </si>
  <si>
    <r>
      <rPr>
        <sz val="9.5"/>
        <rFont val="Arial"/>
        <family val="0"/>
        <charset val="1"/>
      </rPr>
      <t xml:space="preserve">duckOthers </t>
    </r>
    <r>
      <rPr>
        <sz val="9.5"/>
        <rFont val="Noto Sans CJK SC"/>
        <family val="2"/>
      </rPr>
      <t xml:space="preserve">설정의 실동작 미검증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</si>
  <si>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059</t>
    </r>
  </si>
  <si>
    <t xml:space="preserve">저장 데이터 마이그레이션 안전성</t>
  </si>
  <si>
    <t xml:space="preserve">기존 저장값이 있는 상태에서 업데이트해도 안 깨짐</t>
  </si>
  <si>
    <r>
      <rPr>
        <sz val="9.5"/>
        <rFont val="Noto Sans CJK SC"/>
        <family val="2"/>
      </rPr>
      <t xml:space="preserve">오늘 </t>
    </r>
    <r>
      <rPr>
        <sz val="9.5"/>
        <rFont val="Arial"/>
        <family val="0"/>
        <charset val="1"/>
      </rPr>
      <t xml:space="preserve">store </t>
    </r>
    <r>
      <rPr>
        <sz val="9.5"/>
        <rFont val="Noto Sans CJK SC"/>
        <family val="2"/>
      </rPr>
      <t xml:space="preserve">키를 여러 개 바꿨음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</si>
  <si>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060</t>
    </r>
  </si>
  <si>
    <t xml:space="preserve">UX</t>
  </si>
  <si>
    <t xml:space="preserve">온보딩 완주율 자체 점검</t>
  </si>
  <si>
    <r>
      <rPr>
        <sz val="9.5"/>
        <rFont val="Arial"/>
        <family val="0"/>
        <charset val="1"/>
      </rPr>
      <t xml:space="preserve">5</t>
    </r>
    <r>
      <rPr>
        <sz val="9.5"/>
        <rFont val="Noto Sans CJK SC"/>
        <family val="2"/>
      </rPr>
      <t xml:space="preserve">명이 이탈 없이 끝까지 진행</t>
    </r>
  </si>
  <si>
    <t xml:space="preserve">온보딩에서 이탈하면 리텐션 측정 자체가 무의미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</si>
  <si>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061</t>
    </r>
  </si>
  <si>
    <r>
      <rPr>
        <sz val="9.5"/>
        <rFont val="Noto Sans CJK SC"/>
        <family val="2"/>
      </rPr>
      <t xml:space="preserve">빈 상태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스윙 </t>
    </r>
    <r>
      <rPr>
        <sz val="9.5"/>
        <rFont val="Arial"/>
        <family val="0"/>
        <charset val="1"/>
      </rPr>
      <t xml:space="preserve">0</t>
    </r>
    <r>
      <rPr>
        <sz val="9.5"/>
        <rFont val="Noto Sans CJK SC"/>
        <family val="2"/>
      </rPr>
      <t xml:space="preserve">개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화면 점검</t>
    </r>
  </si>
  <si>
    <t xml:space="preserve">처음 켠 사용자가 무엇을 할지 알 수 있음</t>
  </si>
  <si>
    <r>
      <rPr>
        <sz val="9.5"/>
        <rFont val="Noto Sans CJK SC"/>
        <family val="2"/>
      </rPr>
      <t xml:space="preserve">첫 실행 경험이 곧 </t>
    </r>
    <r>
      <rPr>
        <sz val="9.5"/>
        <rFont val="Arial"/>
        <family val="0"/>
        <charset val="1"/>
      </rPr>
      <t xml:space="preserve">D1 </t>
    </r>
    <r>
      <rPr>
        <sz val="9.5"/>
        <rFont val="Noto Sans CJK SC"/>
        <family val="2"/>
      </rPr>
      <t xml:space="preserve">리텐션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</si>
  <si>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062</t>
    </r>
  </si>
  <si>
    <t xml:space="preserve">에러 상태 문구 점검</t>
  </si>
  <si>
    <r>
      <rPr>
        <sz val="9.5"/>
        <rFont val="Noto Sans CJK SC"/>
        <family val="2"/>
      </rPr>
      <t xml:space="preserve">영상 선택 실패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권한 거부 시 안내가 사람 말로 나옴</t>
    </r>
  </si>
  <si>
    <t xml:space="preserve">기술 용어가 그대로 노출되면 신뢰가 깨짐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</si>
  <si>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063</t>
    </r>
  </si>
  <si>
    <t xml:space="preserve">권한 거부 후 재요청 흐름</t>
  </si>
  <si>
    <t xml:space="preserve">갤러리 권한 거부 시 설정으로 안내</t>
  </si>
  <si>
    <t xml:space="preserve">거부하면 기능이 죽은 채로 남는 상태 방지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</si>
  <si>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064</t>
    </r>
  </si>
  <si>
    <t xml:space="preserve">빌드</t>
  </si>
  <si>
    <r>
      <rPr>
        <sz val="9.5"/>
        <rFont val="Arial"/>
        <family val="0"/>
        <charset val="1"/>
      </rPr>
      <t xml:space="preserve">EAS </t>
    </r>
    <r>
      <rPr>
        <sz val="9.5"/>
        <rFont val="Noto Sans CJK SC"/>
        <family val="2"/>
      </rPr>
      <t xml:space="preserve">프로덕션 빌드 성공</t>
    </r>
  </si>
  <si>
    <r>
      <rPr>
        <sz val="9.5"/>
        <rFont val="Arial"/>
        <family val="0"/>
        <charset val="1"/>
      </rPr>
      <t xml:space="preserve">AAB </t>
    </r>
    <r>
      <rPr>
        <sz val="9.5"/>
        <rFont val="Noto Sans CJK SC"/>
        <family val="2"/>
      </rPr>
      <t xml:space="preserve">산출물 생성</t>
    </r>
  </si>
  <si>
    <r>
      <rPr>
        <sz val="9.5"/>
        <rFont val="Arial"/>
        <family val="0"/>
        <charset val="1"/>
      </rPr>
      <t xml:space="preserve">Expo Go</t>
    </r>
    <r>
      <rPr>
        <sz val="9.5"/>
        <rFont val="Noto Sans CJK SC"/>
        <family val="2"/>
      </rPr>
      <t xml:space="preserve">로는 스토어 제출 불가</t>
    </r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</si>
  <si>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065</t>
    </r>
  </si>
  <si>
    <r>
      <rPr>
        <sz val="9.5"/>
        <rFont val="Arial"/>
        <family val="0"/>
        <charset val="1"/>
      </rPr>
      <t xml:space="preserve">Play App Signing </t>
    </r>
    <r>
      <rPr>
        <sz val="9.5"/>
        <rFont val="Noto Sans CJK SC"/>
        <family val="2"/>
      </rPr>
      <t xml:space="preserve">키 등록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백업</t>
    </r>
  </si>
  <si>
    <t xml:space="preserve">업로드 키 백업본을 안전한 곳에 보관</t>
  </si>
  <si>
    <t xml:space="preserve">키를 잃으면 앱 업데이트를 영원히 못 함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</si>
  <si>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066</t>
    </r>
  </si>
  <si>
    <r>
      <rPr>
        <sz val="9.5"/>
        <rFont val="Noto Sans CJK SC"/>
        <family val="2"/>
      </rPr>
      <t xml:space="preserve">버전 코드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버전명 체계 확정</t>
    </r>
  </si>
  <si>
    <r>
      <rPr>
        <sz val="9.5"/>
        <rFont val="Arial"/>
        <family val="0"/>
        <charset val="1"/>
      </rPr>
      <t xml:space="preserve">1.0.0 / versionCode 1 </t>
    </r>
    <r>
      <rPr>
        <sz val="9.5"/>
        <rFont val="Noto Sans CJK SC"/>
        <family val="2"/>
      </rPr>
      <t xml:space="preserve">규칙 문서화</t>
    </r>
  </si>
  <si>
    <t xml:space="preserve">중복 버전 코드는 업로드 거부 사유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</si>
  <si>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067</t>
    </r>
  </si>
  <si>
    <r>
      <rPr>
        <sz val="9.5"/>
        <rFont val="Arial"/>
        <family val="0"/>
        <charset val="1"/>
      </rPr>
      <t xml:space="preserve">ProGuard/R8 </t>
    </r>
    <r>
      <rPr>
        <sz val="9.5"/>
        <rFont val="Noto Sans CJK SC"/>
        <family val="2"/>
      </rPr>
      <t xml:space="preserve">적용 시 동작 확인</t>
    </r>
  </si>
  <si>
    <t xml:space="preserve">난독화 빌드에서도 정상 동작</t>
  </si>
  <si>
    <t xml:space="preserve">릴리스 빌드에서만 터지는 버그의 단골</t>
  </si>
  <si>
    <r>
      <rPr>
        <sz val="9.5"/>
        <rFont val="Noto Sans CJK SC"/>
        <family val="2"/>
      </rPr>
      <t xml:space="preserve">제</t>
    </r>
    <r>
      <rPr>
        <sz val="9.5"/>
        <rFont val="Arial"/>
        <family val="0"/>
        <charset val="1"/>
      </rPr>
      <t xml:space="preserve">068</t>
    </r>
  </si>
  <si>
    <r>
      <rPr>
        <sz val="9.5"/>
        <rFont val="Noto Sans CJK SC"/>
        <family val="2"/>
      </rPr>
      <t xml:space="preserve">앱 용량 확인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오디오 자산 포함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</si>
  <si>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설치 크기 기록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과도하면 최적화</t>
    </r>
  </si>
  <si>
    <r>
      <rPr>
        <sz val="9.5"/>
        <rFont val="Noto Sans CJK SC"/>
        <family val="2"/>
      </rPr>
      <t xml:space="preserve">오디오 </t>
    </r>
    <r>
      <rPr>
        <sz val="9.5"/>
        <rFont val="Arial"/>
        <family val="0"/>
        <charset val="1"/>
      </rPr>
      <t xml:space="preserve">23</t>
    </r>
    <r>
      <rPr>
        <sz val="9.5"/>
        <rFont val="Noto Sans CJK SC"/>
        <family val="2"/>
      </rPr>
      <t xml:space="preserve">개가 들어가 있어 확인 필요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</si>
  <si>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069</t>
    </r>
  </si>
  <si>
    <t xml:space="preserve">아이덴티티</t>
  </si>
  <si>
    <r>
      <rPr>
        <sz val="9.5"/>
        <rFont val="Noto Sans CJK SC"/>
        <family val="2"/>
      </rPr>
      <t xml:space="preserve">로고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심볼 최종 확정</t>
    </r>
  </si>
  <si>
    <r>
      <rPr>
        <sz val="9.5"/>
        <rFont val="Arial"/>
        <family val="0"/>
        <charset val="1"/>
      </rPr>
      <t xml:space="preserve">Tempo Arc Mark </t>
    </r>
    <r>
      <rPr>
        <sz val="9.5"/>
        <rFont val="Noto Sans CJK SC"/>
        <family val="2"/>
      </rPr>
      <t xml:space="preserve">확정본 </t>
    </r>
    <r>
      <rPr>
        <sz val="9.5"/>
        <rFont val="Arial"/>
        <family val="0"/>
        <charset val="1"/>
      </rPr>
      <t xml:space="preserve">SVG </t>
    </r>
    <r>
      <rPr>
        <sz val="9.5"/>
        <rFont val="Noto Sans CJK SC"/>
        <family val="2"/>
      </rPr>
      <t xml:space="preserve">세트</t>
    </r>
  </si>
  <si>
    <t xml:space="preserve">확정 완료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</si>
  <si>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070</t>
    </r>
  </si>
  <si>
    <t xml:space="preserve">브랜드 컬러 확정</t>
  </si>
  <si>
    <r>
      <rPr>
        <sz val="9.5"/>
        <rFont val="Noto Sans CJK SC"/>
        <family val="2"/>
      </rPr>
      <t xml:space="preserve">그린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골드</t>
    </r>
    <r>
      <rPr>
        <sz val="9.5"/>
        <rFont val="Arial"/>
        <family val="0"/>
        <charset val="1"/>
      </rPr>
      <t xml:space="preserve">, HEX </t>
    </r>
    <r>
      <rPr>
        <sz val="9.5"/>
        <rFont val="Noto Sans CJK SC"/>
        <family val="2"/>
      </rPr>
      <t xml:space="preserve">문서화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</si>
  <si>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071</t>
    </r>
  </si>
  <si>
    <r>
      <rPr>
        <sz val="9.5"/>
        <rFont val="Noto Sans CJK SC"/>
        <family val="2"/>
      </rPr>
      <t xml:space="preserve">앱 아이콘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어댑티브 아이콘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스플래시 반영</t>
    </r>
  </si>
  <si>
    <t xml:space="preserve">세이프존 검증 포함</t>
  </si>
  <si>
    <r>
      <rPr>
        <sz val="9.5"/>
        <rFont val="Noto Sans CJK SC"/>
        <family val="2"/>
      </rPr>
      <t xml:space="preserve">완료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최종 빌드에서 재확인만 필요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</si>
  <si>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072</t>
    </r>
  </si>
  <si>
    <r>
      <rPr>
        <sz val="9.5"/>
        <rFont val="Noto Sans CJK SC"/>
        <family val="2"/>
      </rPr>
      <t xml:space="preserve">워드마크 </t>
    </r>
    <r>
      <rPr>
        <sz val="9.5"/>
        <rFont val="Arial"/>
        <family val="0"/>
        <charset val="1"/>
      </rPr>
      <t xml:space="preserve">SVG </t>
    </r>
    <r>
      <rPr>
        <sz val="9.5"/>
        <rFont val="Noto Sans CJK SC"/>
        <family val="2"/>
      </rPr>
      <t xml:space="preserve">폰트 아웃라인 벡터화</t>
    </r>
  </si>
  <si>
    <r>
      <rPr>
        <sz val="9.5"/>
        <rFont val="Noto Sans CJK SC"/>
        <family val="2"/>
      </rPr>
      <t xml:space="preserve">텍스트가 아닌 </t>
    </r>
    <r>
      <rPr>
        <sz val="9.5"/>
        <rFont val="Arial"/>
        <family val="0"/>
        <charset val="1"/>
      </rPr>
      <t xml:space="preserve">path</t>
    </r>
    <r>
      <rPr>
        <sz val="9.5"/>
        <rFont val="Noto Sans CJK SC"/>
        <family val="2"/>
      </rPr>
      <t xml:space="preserve">로 변환된 </t>
    </r>
    <r>
      <rPr>
        <sz val="9.5"/>
        <rFont val="Arial"/>
        <family val="0"/>
        <charset val="1"/>
      </rPr>
      <t xml:space="preserve">SVG</t>
    </r>
  </si>
  <si>
    <r>
      <rPr>
        <sz val="9.5"/>
        <rFont val="Noto Sans CJK SC"/>
        <family val="2"/>
      </rPr>
      <t xml:space="preserve">스토어 이미지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인쇄물에서 폰트 없으면 깨짐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</si>
  <si>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073</t>
    </r>
  </si>
  <si>
    <t xml:space="preserve">보이스</t>
  </si>
  <si>
    <t xml:space="preserve">브랜드 보이스 가이드 문서화</t>
  </si>
  <si>
    <r>
      <rPr>
        <sz val="9.5"/>
        <rFont val="Noto Sans CJK SC"/>
        <family val="2"/>
      </rPr>
      <t xml:space="preserve">쓰는 말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쓰지 않는 말 목록</t>
    </r>
  </si>
  <si>
    <r>
      <rPr>
        <sz val="9.5"/>
        <rFont val="Arial"/>
        <family val="0"/>
        <charset val="1"/>
      </rPr>
      <t xml:space="preserve">2026-08-01 </t>
    </r>
    <r>
      <rPr>
        <sz val="9.5"/>
        <rFont val="Noto Sans CJK SC"/>
        <family val="2"/>
      </rPr>
      <t xml:space="preserve">문구 검토에서 </t>
    </r>
    <r>
      <rPr>
        <sz val="9.5"/>
        <rFont val="Arial"/>
        <family val="0"/>
        <charset val="1"/>
      </rPr>
      <t xml:space="preserve">6</t>
    </r>
    <r>
      <rPr>
        <sz val="9.5"/>
        <rFont val="Noto Sans CJK SC"/>
        <family val="2"/>
      </rPr>
      <t xml:space="preserve">건이나 새어 있었음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</si>
  <si>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074</t>
    </r>
  </si>
  <si>
    <t xml:space="preserve">전 화면 문구 최종 검수</t>
  </si>
  <si>
    <t xml:space="preserve">기계 추출 후 브랜드 기준 대조</t>
  </si>
  <si>
    <t xml:space="preserve">조건부로만 뜨는 문구는 눈으로 못 잡음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</si>
  <si>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075</t>
    </r>
  </si>
  <si>
    <r>
      <rPr>
        <sz val="9.5"/>
        <rFont val="Noto Sans CJK SC"/>
        <family val="2"/>
      </rPr>
      <t xml:space="preserve">성향 라벨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안정형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균형형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파워형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최종 결정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</si>
  <si>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파워형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우열 오해 문제 결론</t>
    </r>
  </si>
  <si>
    <t xml:space="preserve">속도 축에서 없앤 오해가 비율 축에 그대로 남아 있음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</si>
  <si>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076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</si>
  <si>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등록</t>
    </r>
    <r>
      <rPr>
        <sz val="9.5"/>
        <rFont val="Arial"/>
        <family val="0"/>
        <charset val="1"/>
      </rPr>
      <t xml:space="preserve">" vs "</t>
    </r>
    <r>
      <rPr>
        <sz val="9.5"/>
        <rFont val="Noto Sans CJK SC"/>
        <family val="2"/>
      </rPr>
      <t xml:space="preserve">저장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용어 통일</t>
    </r>
  </si>
  <si>
    <t xml:space="preserve">한쪽으로 정리 후 전 화면 반영</t>
  </si>
  <si>
    <t xml:space="preserve">온보딩과 버튼이 서로 다른 말을 쓰고 있음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</si>
  <si>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077</t>
    </r>
  </si>
  <si>
    <t xml:space="preserve">사운드 아이덴티티 정의</t>
  </si>
  <si>
    <r>
      <rPr>
        <sz val="9.5"/>
        <rFont val="Noto Sans CJK SC"/>
        <family val="2"/>
      </rPr>
      <t xml:space="preserve">브랜드를 대표하는 소리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종 확정</t>
    </r>
  </si>
  <si>
    <t xml:space="preserve">시각 아이덴티티만 있고 청각 아이덴티티가 없음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</si>
  <si>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078</t>
    </r>
  </si>
  <si>
    <r>
      <rPr>
        <sz val="9.5"/>
        <rFont val="Noto Sans CJK SC"/>
        <family val="2"/>
      </rPr>
      <t xml:space="preserve">앱 실행음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전환음 도입 여부 결정</t>
    </r>
  </si>
  <si>
    <r>
      <rPr>
        <sz val="9.5"/>
        <rFont val="Noto Sans CJK SC"/>
        <family val="2"/>
      </rPr>
      <t xml:space="preserve">넣을지 말지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근거</t>
    </r>
  </si>
  <si>
    <r>
      <rPr>
        <sz val="9.5"/>
        <rFont val="Noto Sans CJK SC"/>
        <family val="2"/>
      </rPr>
      <t xml:space="preserve">절제가 브랜드 원칙이므로 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안 넣음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도 유효한 결론</t>
    </r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</si>
  <si>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079</t>
    </r>
  </si>
  <si>
    <t xml:space="preserve">일관성</t>
  </si>
  <si>
    <t xml:space="preserve">스토어 자산과 앱 내 디자인 일관성 점검</t>
  </si>
  <si>
    <r>
      <rPr>
        <sz val="9.5"/>
        <rFont val="Noto Sans CJK SC"/>
        <family val="2"/>
      </rPr>
      <t xml:space="preserve">스크린샷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아이콘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설명이 같은 브랜드로 읽힘</t>
    </r>
  </si>
  <si>
    <t xml:space="preserve">스토어에서 본 것과 앱이 다르면 첫인상이 깨짐</t>
  </si>
  <si>
    <r>
      <rPr>
        <sz val="9.5"/>
        <rFont val="Noto Sans CJK SC"/>
        <family val="2"/>
      </rPr>
      <t xml:space="preserve">브</t>
    </r>
    <r>
      <rPr>
        <sz val="9.5"/>
        <rFont val="Arial"/>
        <family val="0"/>
        <charset val="1"/>
      </rPr>
      <t xml:space="preserve">080</t>
    </r>
  </si>
  <si>
    <r>
      <rPr>
        <sz val="9.5"/>
        <rFont val="Noto Sans CJK SC"/>
        <family val="2"/>
      </rPr>
      <t xml:space="preserve">랜딩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공유 </t>
    </r>
    <r>
      <rPr>
        <sz val="9.5"/>
        <rFont val="Arial"/>
        <family val="0"/>
        <charset val="1"/>
      </rPr>
      <t xml:space="preserve">HTML</t>
    </r>
    <r>
      <rPr>
        <sz val="9.5"/>
        <rFont val="Noto Sans CJK SC"/>
        <family val="2"/>
      </rPr>
      <t xml:space="preserve">과 앱 톤 일치 확인</t>
    </r>
  </si>
  <si>
    <t xml:space="preserve">친구 공유용 체험판이 최신 브랜드 반영</t>
  </si>
  <si>
    <t xml:space="preserve">이미 배포한 자료가 구버전이면 혼란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</si>
  <si>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081</t>
    </r>
  </si>
  <si>
    <r>
      <rPr>
        <sz val="9.5"/>
        <rFont val="Arial"/>
        <family val="0"/>
        <charset val="1"/>
      </rPr>
      <t xml:space="preserve">Lifetime ₩6,900 </t>
    </r>
    <r>
      <rPr>
        <sz val="9.5"/>
        <rFont val="Noto Sans CJK SC"/>
        <family val="2"/>
      </rPr>
      <t xml:space="preserve">최종 확정</t>
    </r>
  </si>
  <si>
    <r>
      <rPr>
        <sz val="9.5"/>
        <rFont val="Noto Sans CJK SC"/>
        <family val="2"/>
      </rPr>
      <t xml:space="preserve">가격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범위</t>
    </r>
    <r>
      <rPr>
        <sz val="9.5"/>
        <rFont val="Arial"/>
        <family val="0"/>
        <charset val="1"/>
      </rPr>
      <t xml:space="preserve">("v1 </t>
    </r>
    <r>
      <rPr>
        <sz val="9.5"/>
        <rFont val="Noto Sans CJK SC"/>
        <family val="2"/>
      </rPr>
      <t xml:space="preserve">기능 한정</t>
    </r>
    <r>
      <rPr>
        <sz val="9.5"/>
        <rFont val="Arial"/>
        <family val="0"/>
        <charset val="1"/>
      </rPr>
      <t xml:space="preserve">") </t>
    </r>
    <r>
      <rPr>
        <sz val="9.5"/>
        <rFont val="Noto Sans CJK SC"/>
        <family val="2"/>
      </rPr>
      <t xml:space="preserve">문구 확정</t>
    </r>
  </si>
  <si>
    <r>
      <rPr>
        <sz val="9.5"/>
        <rFont val="Noto Sans CJK SC"/>
        <family val="2"/>
      </rPr>
      <t xml:space="preserve">확정 상태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스토어 등록 시 그대로 반영</t>
    </r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</si>
  <si>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082</t>
    </r>
  </si>
  <si>
    <r>
      <rPr>
        <sz val="9.5"/>
        <rFont val="Noto Sans CJK SC"/>
        <family val="2"/>
      </rPr>
      <t xml:space="preserve">무료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유료 기능 경계 최종 확정</t>
    </r>
  </si>
  <si>
    <r>
      <rPr>
        <sz val="9.5"/>
        <rFont val="Noto Sans CJK SC"/>
        <family val="2"/>
      </rPr>
      <t xml:space="preserve">사운드팩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샷 간격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히스토리 심화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종 범위 확정</t>
    </r>
  </si>
  <si>
    <t xml:space="preserve">오늘 기능이 늘어나 경계 재확인 필요</t>
  </si>
  <si>
    <t xml:space="preserve">golf-revenue-strategist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</si>
  <si>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083</t>
    </r>
  </si>
  <si>
    <r>
      <rPr>
        <sz val="9.5"/>
        <rFont val="Noto Sans CJK SC"/>
        <family val="2"/>
      </rPr>
      <t xml:space="preserve">역방향 체험</t>
    </r>
    <r>
      <rPr>
        <sz val="9.5"/>
        <rFont val="Arial"/>
        <family val="0"/>
        <charset val="1"/>
      </rPr>
      <t xml:space="preserve">(7</t>
    </r>
    <r>
      <rPr>
        <sz val="9.5"/>
        <rFont val="Noto Sans CJK SC"/>
        <family val="2"/>
      </rPr>
      <t xml:space="preserve">일 개방 → 무료 티어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사양 확정</t>
    </r>
  </si>
  <si>
    <r>
      <rPr>
        <sz val="9.5"/>
        <rFont val="Noto Sans CJK SC"/>
        <family val="2"/>
      </rPr>
      <t xml:space="preserve">전환 시점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강등 방식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안내 문구</t>
    </r>
  </si>
  <si>
    <t xml:space="preserve">잠금이 아니라 강등이라는 점이 규제 회피의 핵심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</si>
  <si>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084</t>
    </r>
  </si>
  <si>
    <t xml:space="preserve">구현</t>
  </si>
  <si>
    <r>
      <rPr>
        <sz val="9.5"/>
        <rFont val="Arial"/>
        <family val="0"/>
        <charset val="1"/>
      </rPr>
      <t xml:space="preserve">Play Billing </t>
    </r>
    <r>
      <rPr>
        <sz val="9.5"/>
        <rFont val="Noto Sans CJK SC"/>
        <family val="2"/>
      </rPr>
      <t xml:space="preserve">라이브러리 연동</t>
    </r>
  </si>
  <si>
    <r>
      <rPr>
        <sz val="9.5"/>
        <rFont val="Noto Sans CJK SC"/>
        <family val="2"/>
      </rPr>
      <t xml:space="preserve">인앱 상품 조회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구매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복원 동작</t>
    </r>
  </si>
  <si>
    <r>
      <rPr>
        <sz val="9.5"/>
        <rFont val="Noto Sans CJK SC"/>
        <family val="2"/>
      </rPr>
      <t xml:space="preserve">네이티브 </t>
    </r>
    <r>
      <rPr>
        <sz val="9.5"/>
        <rFont val="Arial"/>
        <family val="0"/>
        <charset val="1"/>
      </rPr>
      <t xml:space="preserve">IAP </t>
    </r>
    <r>
      <rPr>
        <sz val="9.5"/>
        <rFont val="Noto Sans CJK SC"/>
        <family val="2"/>
      </rPr>
      <t xml:space="preserve">외 결제 유도는 즉시 거절 사유</t>
    </r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</si>
  <si>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085</t>
    </r>
  </si>
  <si>
    <r>
      <rPr>
        <sz val="9.5"/>
        <rFont val="Noto Sans CJK SC"/>
        <family val="2"/>
      </rPr>
      <t xml:space="preserve">구매 복원</t>
    </r>
    <r>
      <rPr>
        <sz val="9.5"/>
        <rFont val="Arial"/>
        <family val="0"/>
        <charset val="1"/>
      </rPr>
      <t xml:space="preserve">(Restore) </t>
    </r>
    <r>
      <rPr>
        <sz val="9.5"/>
        <rFont val="Noto Sans CJK SC"/>
        <family val="2"/>
      </rPr>
      <t xml:space="preserve">기능</t>
    </r>
  </si>
  <si>
    <r>
      <rPr>
        <sz val="9.5"/>
        <rFont val="Noto Sans CJK SC"/>
        <family val="2"/>
      </rPr>
      <t xml:space="preserve">기기 변경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재설치 후 구매 복원</t>
    </r>
  </si>
  <si>
    <r>
      <rPr>
        <sz val="9.5"/>
        <rFont val="Arial"/>
        <family val="0"/>
        <charset val="1"/>
      </rPr>
      <t xml:space="preserve">Lifetime</t>
    </r>
    <r>
      <rPr>
        <sz val="9.5"/>
        <rFont val="Noto Sans CJK SC"/>
        <family val="2"/>
      </rPr>
      <t xml:space="preserve">인데 복원이 없으면 </t>
    </r>
    <r>
      <rPr>
        <sz val="9.5"/>
        <rFont val="Arial"/>
        <family val="0"/>
        <charset val="1"/>
      </rPr>
      <t xml:space="preserve">CS </t>
    </r>
    <r>
      <rPr>
        <sz val="9.5"/>
        <rFont val="Noto Sans CJK SC"/>
        <family val="2"/>
      </rPr>
      <t xml:space="preserve">폭발</t>
    </r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</si>
  <si>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086</t>
    </r>
  </si>
  <si>
    <t xml:space="preserve">구매 상태 로컬 검증 로직</t>
  </si>
  <si>
    <r>
      <rPr>
        <sz val="9.5"/>
        <rFont val="Noto Sans CJK SC"/>
        <family val="2"/>
      </rPr>
      <t xml:space="preserve">서버 없이 </t>
    </r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응답만으로 판정</t>
    </r>
  </si>
  <si>
    <t xml:space="preserve">서버 미운영 방침을 유지하면서 처리해야 함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</si>
  <si>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087</t>
    </r>
  </si>
  <si>
    <t xml:space="preserve">페이월 화면 구현</t>
  </si>
  <si>
    <r>
      <rPr>
        <sz val="9.5"/>
        <rFont val="Noto Sans CJK SC"/>
        <family val="2"/>
      </rPr>
      <t xml:space="preserve">가치 → 가격 순서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강매 없음</t>
    </r>
  </si>
  <si>
    <r>
      <rPr>
        <sz val="9.5"/>
        <rFont val="Noto Sans CJK SC"/>
        <family val="2"/>
      </rPr>
      <t xml:space="preserve">연습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마킹 화면에는 절대 배치 금지</t>
    </r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</si>
  <si>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088</t>
    </r>
  </si>
  <si>
    <t xml:space="preserve">테스트</t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</si>
  <si>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콘솔 인앱 상품 등록</t>
    </r>
  </si>
  <si>
    <r>
      <rPr>
        <sz val="9.5"/>
        <rFont val="Noto Sans CJK SC"/>
        <family val="2"/>
      </rPr>
      <t xml:space="preserve">상품 </t>
    </r>
    <r>
      <rPr>
        <sz val="9.5"/>
        <rFont val="Arial"/>
        <family val="0"/>
        <charset val="1"/>
      </rPr>
      <t xml:space="preserve">ID·</t>
    </r>
    <r>
      <rPr>
        <sz val="9.5"/>
        <rFont val="Noto Sans CJK SC"/>
        <family val="2"/>
      </rPr>
      <t xml:space="preserve">가격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설명 등록</t>
    </r>
  </si>
  <si>
    <t xml:space="preserve">상품이 없으면 결제 테스트 자체 불가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</si>
  <si>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089</t>
    </r>
  </si>
  <si>
    <t xml:space="preserve">라이선스 테스터 계정으로 결제 테스트</t>
  </si>
  <si>
    <r>
      <rPr>
        <sz val="9.5"/>
        <rFont val="Noto Sans CJK SC"/>
        <family val="2"/>
      </rPr>
      <t xml:space="preserve">실제 과금 없이 구매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복원 전 과정 통과</t>
    </r>
  </si>
  <si>
    <t xml:space="preserve">결제는 단 한 번의 실패도 치명적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</si>
  <si>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090</t>
    </r>
  </si>
  <si>
    <r>
      <rPr>
        <sz val="9.5"/>
        <rFont val="Noto Sans CJK SC"/>
        <family val="2"/>
      </rPr>
      <t xml:space="preserve">구매 취소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환불 시나리오 테스트</t>
    </r>
  </si>
  <si>
    <t xml:space="preserve">환불 후 유료 기능이 정상 잠김</t>
  </si>
  <si>
    <t xml:space="preserve">환불했는데 계속 쓰이면 매출 누수</t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</si>
  <si>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091</t>
    </r>
  </si>
  <si>
    <r>
      <rPr>
        <sz val="9.5"/>
        <rFont val="Noto Sans CJK SC"/>
        <family val="2"/>
      </rPr>
      <t xml:space="preserve">결제 실패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네트워크 끊김 처리</t>
    </r>
  </si>
  <si>
    <r>
      <rPr>
        <sz val="9.5"/>
        <rFont val="Noto Sans CJK SC"/>
        <family val="2"/>
      </rPr>
      <t xml:space="preserve">실패 시 안내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재시도 경로</t>
    </r>
  </si>
  <si>
    <r>
      <rPr>
        <sz val="9.5"/>
        <rFont val="Noto Sans CJK SC"/>
        <family val="2"/>
      </rPr>
      <t xml:space="preserve">결제 도중 앱이 멈추면 리뷰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점</t>
    </r>
  </si>
  <si>
    <r>
      <rPr>
        <sz val="9.5"/>
        <rFont val="Noto Sans CJK SC"/>
        <family val="2"/>
      </rPr>
      <t xml:space="preserve">수</t>
    </r>
    <r>
      <rPr>
        <sz val="9.5"/>
        <rFont val="Arial"/>
        <family val="0"/>
        <charset val="1"/>
      </rPr>
      <t xml:space="preserve">092</t>
    </r>
  </si>
  <si>
    <t xml:space="preserve">가격 표시 방식 국내법 대조</t>
  </si>
  <si>
    <r>
      <rPr>
        <sz val="9.5"/>
        <rFont val="Noto Sans CJK SC"/>
        <family val="2"/>
      </rPr>
      <t xml:space="preserve">부가세 포함 여부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총액 표시</t>
    </r>
  </si>
  <si>
    <t xml:space="preserve">전자상거래법 표시 의무 대상</t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</si>
  <si>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093</t>
    </r>
  </si>
  <si>
    <t xml:space="preserve">도구</t>
  </si>
  <si>
    <r>
      <rPr>
        <sz val="9.5"/>
        <rFont val="Arial"/>
        <family val="0"/>
        <charset val="1"/>
      </rPr>
      <t xml:space="preserve">PostHog </t>
    </r>
    <r>
      <rPr>
        <sz val="9.5"/>
        <rFont val="Noto Sans CJK SC"/>
        <family val="2"/>
      </rPr>
      <t xml:space="preserve">무료 티어 데이터 보존기간 확인</t>
    </r>
  </si>
  <si>
    <r>
      <rPr>
        <sz val="9.5"/>
        <rFont val="Arial"/>
        <family val="0"/>
        <charset val="1"/>
      </rPr>
      <t xml:space="preserve">30</t>
    </r>
    <r>
      <rPr>
        <sz val="9.5"/>
        <rFont val="Noto Sans CJK SC"/>
        <family val="2"/>
      </rPr>
      <t xml:space="preserve">일 이상인지 확인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미달 시 </t>
    </r>
    <r>
      <rPr>
        <sz val="9.5"/>
        <rFont val="Arial"/>
        <family val="0"/>
        <charset val="1"/>
      </rPr>
      <t xml:space="preserve">Mixpanel </t>
    </r>
    <r>
      <rPr>
        <sz val="9.5"/>
        <rFont val="Noto Sans CJK SC"/>
        <family val="2"/>
      </rPr>
      <t xml:space="preserve">전환</t>
    </r>
  </si>
  <si>
    <r>
      <rPr>
        <sz val="9.5"/>
        <rFont val="Arial"/>
        <family val="0"/>
        <charset val="1"/>
      </rPr>
      <t xml:space="preserve">D30 </t>
    </r>
    <r>
      <rPr>
        <sz val="9.5"/>
        <rFont val="Noto Sans CJK SC"/>
        <family val="2"/>
      </rPr>
      <t xml:space="preserve">리텐션 측정의 전제 조건</t>
    </r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</si>
  <si>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094</t>
    </r>
  </si>
  <si>
    <r>
      <rPr>
        <sz val="9.5"/>
        <rFont val="Arial"/>
        <family val="0"/>
        <charset val="1"/>
      </rPr>
      <t xml:space="preserve">PostHog SDK </t>
    </r>
    <r>
      <rPr>
        <sz val="9.5"/>
        <rFont val="Noto Sans CJK SC"/>
        <family val="2"/>
      </rPr>
      <t xml:space="preserve">연동</t>
    </r>
  </si>
  <si>
    <t xml:space="preserve">개발 빌드에서 이벤트 수신 확인</t>
  </si>
  <si>
    <r>
      <rPr>
        <sz val="9.5"/>
        <rFont val="Arial"/>
        <family val="0"/>
        <charset val="1"/>
      </rPr>
      <t xml:space="preserve">Expo Go</t>
    </r>
    <r>
      <rPr>
        <sz val="9.5"/>
        <rFont val="Noto Sans CJK SC"/>
        <family val="2"/>
      </rPr>
      <t xml:space="preserve">로는 불가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개발 빌드 전환과 묶임</t>
    </r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</si>
  <si>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095</t>
    </r>
  </si>
  <si>
    <t xml:space="preserve">계측</t>
  </si>
  <si>
    <t xml:space="preserve">핵심 이벤트 설계 문서화</t>
  </si>
  <si>
    <r>
      <rPr>
        <sz val="9.5"/>
        <rFont val="Noto Sans CJK SC"/>
        <family val="2"/>
      </rPr>
      <t xml:space="preserve">온보딩 완료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스윙 저장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연습 완료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구매 등 정의</t>
    </r>
  </si>
  <si>
    <t xml:space="preserve">나중에 정의를 바꾸면 과거 데이터가 무의미해짐</t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</si>
  <si>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096</t>
    </r>
  </si>
  <si>
    <r>
      <rPr>
        <sz val="9.5"/>
        <rFont val="Arial"/>
        <family val="0"/>
        <charset val="1"/>
      </rPr>
      <t xml:space="preserve">NSM(</t>
    </r>
    <r>
      <rPr>
        <sz val="9.5"/>
        <rFont val="Noto Sans CJK SC"/>
        <family val="2"/>
      </rPr>
      <t xml:space="preserve">주간 완료 연습 세션 수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집계 가능 확인</t>
    </r>
  </si>
  <si>
    <r>
      <rPr>
        <sz val="9.5"/>
        <rFont val="Noto Sans CJK SC"/>
        <family val="2"/>
      </rPr>
      <t xml:space="preserve">완료</t>
    </r>
    <r>
      <rPr>
        <sz val="9.5"/>
        <rFont val="Arial"/>
        <family val="0"/>
        <charset val="1"/>
      </rPr>
      <t xml:space="preserve">=</t>
    </r>
    <r>
      <rPr>
        <sz val="9.5"/>
        <rFont val="Noto Sans CJK SC"/>
        <family val="2"/>
      </rPr>
      <t xml:space="preserve">스윙 </t>
    </r>
    <r>
      <rPr>
        <sz val="9.5"/>
        <rFont val="Arial"/>
        <family val="0"/>
        <charset val="1"/>
      </rPr>
      <t xml:space="preserve">20</t>
    </r>
    <r>
      <rPr>
        <sz val="9.5"/>
        <rFont val="Noto Sans CJK SC"/>
        <family val="2"/>
      </rPr>
      <t xml:space="preserve">회 기준으로 실제 집계됨</t>
    </r>
  </si>
  <si>
    <t xml:space="preserve">기준만 정하고 계측이 없으면 측정 불가</t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</si>
  <si>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097</t>
    </r>
  </si>
  <si>
    <r>
      <rPr>
        <sz val="9.5"/>
        <rFont val="Arial"/>
        <family val="0"/>
        <charset val="1"/>
      </rPr>
      <t xml:space="preserve">D1/D7/D30 </t>
    </r>
    <r>
      <rPr>
        <sz val="9.5"/>
        <rFont val="Noto Sans CJK SC"/>
        <family val="2"/>
      </rPr>
      <t xml:space="preserve">리텐션 대시보드 구성</t>
    </r>
  </si>
  <si>
    <r>
      <rPr>
        <sz val="9.5"/>
        <rFont val="Arial"/>
        <family val="0"/>
        <charset val="1"/>
      </rPr>
      <t xml:space="preserve">PostHog</t>
    </r>
    <r>
      <rPr>
        <sz val="9.5"/>
        <rFont val="Noto Sans CJK SC"/>
        <family val="2"/>
      </rPr>
      <t xml:space="preserve">에서 코호트 조회 가능</t>
    </r>
  </si>
  <si>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년차 게이트가 </t>
    </r>
    <r>
      <rPr>
        <sz val="9.5"/>
        <rFont val="Arial"/>
        <family val="0"/>
        <charset val="1"/>
      </rPr>
      <t xml:space="preserve">D30 </t>
    </r>
    <r>
      <rPr>
        <sz val="9.5"/>
        <rFont val="Noto Sans CJK SC"/>
        <family val="2"/>
      </rPr>
      <t xml:space="preserve">리텐션 </t>
    </r>
    <r>
      <rPr>
        <sz val="9.5"/>
        <rFont val="Arial"/>
        <family val="0"/>
        <charset val="1"/>
      </rPr>
      <t xml:space="preserve">10%</t>
    </r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</si>
  <si>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098</t>
    </r>
  </si>
  <si>
    <t xml:space="preserve">크래시 리포팅 도구 도입</t>
  </si>
  <si>
    <t xml:space="preserve">크래시 발생 시 스택 수집</t>
  </si>
  <si>
    <t xml:space="preserve">실기기에서만 나는 버그를 잡을 유일한 수단</t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</si>
  <si>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099</t>
    </r>
  </si>
  <si>
    <t xml:space="preserve">개인정보 최소 수집 원칙 적용</t>
  </si>
  <si>
    <r>
      <rPr>
        <sz val="9.5"/>
        <rFont val="Noto Sans CJK SC"/>
        <family val="2"/>
      </rPr>
      <t xml:space="preserve">식별자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위치 미수집 확인</t>
    </r>
  </si>
  <si>
    <r>
      <rPr>
        <sz val="9.5"/>
        <rFont val="Noto Sans CJK SC"/>
        <family val="2"/>
      </rPr>
      <t xml:space="preserve">브랜드 신뢰와 직결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데이터 안전 신고와도 연결</t>
    </r>
  </si>
  <si>
    <r>
      <rPr>
        <sz val="9.5"/>
        <rFont val="Noto Sans CJK SC"/>
        <family val="2"/>
      </rPr>
      <t xml:space="preserve">분</t>
    </r>
    <r>
      <rPr>
        <sz val="9.5"/>
        <rFont val="Arial"/>
        <family val="0"/>
        <charset val="1"/>
      </rPr>
      <t xml:space="preserve">100</t>
    </r>
  </si>
  <si>
    <t xml:space="preserve">계측 이벤트 실제 발화 검증</t>
  </si>
  <si>
    <r>
      <rPr>
        <sz val="9.5"/>
        <rFont val="Noto Sans CJK SC"/>
        <family val="2"/>
      </rPr>
      <t xml:space="preserve">각 이벤트가 의도한 시점에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회만</t>
    </r>
  </si>
  <si>
    <t xml:space="preserve">중복 발화는 지표를 통째로 왜곡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</si>
  <si>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101</t>
    </r>
  </si>
  <si>
    <t xml:space="preserve">채널</t>
  </si>
  <si>
    <t xml:space="preserve">고객 문의 이메일 개설</t>
  </si>
  <si>
    <r>
      <rPr>
        <sz val="9.5"/>
        <rFont val="Noto Sans CJK SC"/>
        <family val="2"/>
      </rPr>
      <t xml:space="preserve">전용 주소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자동 회신 설정</t>
    </r>
  </si>
  <si>
    <t xml:space="preserve">개인 메일을 스토어에 노출하면 되돌릴 수 없음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</si>
  <si>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102</t>
    </r>
  </si>
  <si>
    <t xml:space="preserve">버그 제보 경로 마련</t>
  </si>
  <si>
    <t xml:space="preserve">앱 내 또는 폼 링크</t>
  </si>
  <si>
    <t xml:space="preserve">베타 기간에 제보를 못 받으면 베타가 무의미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</si>
  <si>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103</t>
    </r>
  </si>
  <si>
    <r>
      <rPr>
        <sz val="9.5"/>
        <rFont val="Arial"/>
        <family val="0"/>
        <charset val="1"/>
      </rPr>
      <t xml:space="preserve">FAQ </t>
    </r>
    <r>
      <rPr>
        <sz val="9.5"/>
        <rFont val="Noto Sans CJK SC"/>
        <family val="2"/>
      </rPr>
      <t xml:space="preserve">문서 작성 </t>
    </r>
    <r>
      <rPr>
        <sz val="9.5"/>
        <rFont val="Arial"/>
        <family val="0"/>
        <charset val="1"/>
      </rPr>
      <t xml:space="preserve">(10</t>
    </r>
    <r>
      <rPr>
        <sz val="9.5"/>
        <rFont val="Noto Sans CJK SC"/>
        <family val="2"/>
      </rPr>
      <t xml:space="preserve">문항 이상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</si>
  <si>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설치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결제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복원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권한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환불 등</t>
    </r>
  </si>
  <si>
    <t xml:space="preserve">같은 질문을 매번 개별 답변하면 운영이 안 됨</t>
  </si>
  <si>
    <t xml:space="preserve">golf-product-planner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</si>
  <si>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104</t>
    </r>
  </si>
  <si>
    <t xml:space="preserve">스토어 리뷰 응답 원칙 수립</t>
  </si>
  <si>
    <r>
      <rPr>
        <sz val="9.5"/>
        <rFont val="Noto Sans CJK SC"/>
        <family val="2"/>
      </rPr>
      <t xml:space="preserve">응답 시한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톤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에스컬레이션 기준</t>
    </r>
  </si>
  <si>
    <t xml:space="preserve">초기 리뷰 응답률이 평점에 직접 영향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</si>
  <si>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105</t>
    </r>
  </si>
  <si>
    <t xml:space="preserve">프로세스</t>
  </si>
  <si>
    <t xml:space="preserve">업데이트 릴리스 프로세스 문서화</t>
  </si>
  <si>
    <r>
      <rPr>
        <sz val="9.5"/>
        <rFont val="Noto Sans CJK SC"/>
        <family val="2"/>
      </rPr>
      <t xml:space="preserve">버전 규칙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테스트 트랙 경유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롤백 기준</t>
    </r>
  </si>
  <si>
    <t xml:space="preserve">즉흥 배포는 사고로 이어짐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</si>
  <si>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106</t>
    </r>
  </si>
  <si>
    <t xml:space="preserve">긴급 롤백 절차 정의</t>
  </si>
  <si>
    <t xml:space="preserve">치명 버그 발견 시 단계별 대응</t>
  </si>
  <si>
    <r>
      <rPr>
        <sz val="9.5"/>
        <rFont val="Arial"/>
        <family val="0"/>
        <charset val="1"/>
      </rPr>
      <t xml:space="preserve">Play</t>
    </r>
    <r>
      <rPr>
        <sz val="9.5"/>
        <rFont val="Noto Sans CJK SC"/>
        <family val="2"/>
      </rPr>
      <t xml:space="preserve">는 단계적 출시 중단이 가능</t>
    </r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</si>
  <si>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107</t>
    </r>
  </si>
  <si>
    <r>
      <rPr>
        <sz val="9.5"/>
        <rFont val="Noto Sans CJK SC"/>
        <family val="2"/>
      </rPr>
      <t xml:space="preserve">단계적 출시</t>
    </r>
    <r>
      <rPr>
        <sz val="9.5"/>
        <rFont val="Arial"/>
        <family val="0"/>
        <charset val="1"/>
      </rPr>
      <t xml:space="preserve">(Staged Rollout) </t>
    </r>
    <r>
      <rPr>
        <sz val="9.5"/>
        <rFont val="Noto Sans CJK SC"/>
        <family val="2"/>
      </rPr>
      <t xml:space="preserve">비율 결정</t>
    </r>
  </si>
  <si>
    <r>
      <rPr>
        <sz val="9.5"/>
        <rFont val="Arial"/>
        <family val="0"/>
        <charset val="1"/>
      </rPr>
      <t xml:space="preserve">10% → 50% → 100% </t>
    </r>
    <r>
      <rPr>
        <sz val="9.5"/>
        <rFont val="Noto Sans CJK SC"/>
        <family val="2"/>
      </rPr>
      <t xml:space="preserve">등</t>
    </r>
  </si>
  <si>
    <t xml:space="preserve">전체 배포 후 버그 발견은 회복이 어려움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</si>
  <si>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108</t>
    </r>
  </si>
  <si>
    <t xml:space="preserve">주간 지표 리뷰 루틴 정의</t>
  </si>
  <si>
    <t xml:space="preserve">매주 무엇을 보고 무엇을 판단할지</t>
  </si>
  <si>
    <t xml:space="preserve">지표를 안 보면 게이트 판단을 못 함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</si>
  <si>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109</t>
    </r>
  </si>
  <si>
    <t xml:space="preserve">베타</t>
  </si>
  <si>
    <r>
      <rPr>
        <sz val="9.5"/>
        <rFont val="Noto Sans CJK SC"/>
        <family val="2"/>
      </rPr>
      <t xml:space="preserve">베타 테스터 </t>
    </r>
    <r>
      <rPr>
        <sz val="9.5"/>
        <rFont val="Arial"/>
        <family val="0"/>
        <charset val="1"/>
      </rPr>
      <t xml:space="preserve">10~20</t>
    </r>
    <r>
      <rPr>
        <sz val="9.5"/>
        <rFont val="Noto Sans CJK SC"/>
        <family val="2"/>
      </rPr>
      <t xml:space="preserve">명 섭외</t>
    </r>
  </si>
  <si>
    <t xml:space="preserve">안드로이드 사용자 위주 명단 확보</t>
  </si>
  <si>
    <t xml:space="preserve">섭외가 안 되면 일정 전체가 밀림</t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</si>
  <si>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110</t>
    </r>
  </si>
  <si>
    <t xml:space="preserve">베타 피드백 수집 양식 준비</t>
  </si>
  <si>
    <r>
      <rPr>
        <sz val="9.5"/>
        <rFont val="Arial"/>
        <family val="0"/>
        <charset val="1"/>
      </rPr>
      <t xml:space="preserve">3~5</t>
    </r>
    <r>
      <rPr>
        <sz val="9.5"/>
        <rFont val="Noto Sans CJK SC"/>
        <family val="2"/>
      </rPr>
      <t xml:space="preserve">문항 구조화된 질문</t>
    </r>
  </si>
  <si>
    <r>
      <rPr>
        <sz val="9.5"/>
        <rFont val="Noto Sans CJK SC"/>
        <family val="2"/>
      </rPr>
      <t xml:space="preserve">자유 서술만 받으면 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좋아요</t>
    </r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만 옴</t>
    </r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</si>
  <si>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111</t>
    </r>
  </si>
  <si>
    <t xml:space="preserve">베타 결과 정리 및 출시 여부 판단</t>
  </si>
  <si>
    <r>
      <rPr>
        <sz val="9.5"/>
        <rFont val="Noto Sans CJK SC"/>
        <family val="2"/>
      </rPr>
      <t xml:space="preserve">계속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보류 결정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근거</t>
    </r>
  </si>
  <si>
    <r>
      <rPr>
        <sz val="9.5"/>
        <rFont val="Noto Sans CJK SC"/>
        <family val="2"/>
      </rPr>
      <t xml:space="preserve">길</t>
    </r>
    <r>
      <rPr>
        <sz val="9.5"/>
        <rFont val="Arial"/>
        <family val="0"/>
        <charset val="1"/>
      </rPr>
      <t xml:space="preserve">B</t>
    </r>
    <r>
      <rPr>
        <sz val="9.5"/>
        <rFont val="Noto Sans CJK SC"/>
        <family val="2"/>
      </rPr>
      <t xml:space="preserve">의 리스크를 여기서 끊는 게 목적</t>
    </r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</si>
  <si>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112</t>
    </r>
  </si>
  <si>
    <t xml:space="preserve">마케팅</t>
  </si>
  <si>
    <r>
      <rPr>
        <sz val="9.5"/>
        <rFont val="Noto Sans CJK SC"/>
        <family val="2"/>
      </rPr>
      <t xml:space="preserve">출시 시점 </t>
    </r>
    <r>
      <rPr>
        <sz val="9.5"/>
        <rFont val="Arial"/>
        <family val="0"/>
        <charset val="1"/>
      </rPr>
      <t xml:space="preserve">SNS </t>
    </r>
    <r>
      <rPr>
        <sz val="9.5"/>
        <rFont val="Noto Sans CJK SC"/>
        <family val="2"/>
      </rPr>
      <t xml:space="preserve">콘텐츠 </t>
    </r>
    <r>
      <rPr>
        <sz val="9.5"/>
        <rFont val="Arial"/>
        <family val="0"/>
        <charset val="1"/>
      </rPr>
      <t xml:space="preserve">3</t>
    </r>
    <r>
      <rPr>
        <sz val="9.5"/>
        <rFont val="Noto Sans CJK SC"/>
        <family val="2"/>
      </rPr>
      <t xml:space="preserve">건 준비</t>
    </r>
  </si>
  <si>
    <r>
      <rPr>
        <sz val="9.5"/>
        <rFont val="Noto Sans CJK SC"/>
        <family val="2"/>
      </rPr>
      <t xml:space="preserve">인스타 릴스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피드 소재</t>
    </r>
  </si>
  <si>
    <r>
      <rPr>
        <sz val="9.5"/>
        <rFont val="Noto Sans CJK SC"/>
        <family val="2"/>
      </rPr>
      <t xml:space="preserve">출시 당일 아무 소식도 없으면 다운로드 </t>
    </r>
    <r>
      <rPr>
        <sz val="9.5"/>
        <rFont val="Arial"/>
        <family val="0"/>
        <charset val="1"/>
      </rPr>
      <t xml:space="preserve">0</t>
    </r>
  </si>
  <si>
    <r>
      <rPr>
        <sz val="9.5"/>
        <rFont val="Noto Sans CJK SC"/>
        <family val="2"/>
      </rPr>
      <t xml:space="preserve">운</t>
    </r>
    <r>
      <rPr>
        <sz val="9.5"/>
        <rFont val="Arial"/>
        <family val="0"/>
        <charset val="1"/>
      </rPr>
      <t xml:space="preserve">113</t>
    </r>
  </si>
  <si>
    <t xml:space="preserve">템포 구간 비교 기능의 공유 소재화</t>
  </si>
  <si>
    <t xml:space="preserve">스크린샷 공유 유도 설계</t>
  </si>
  <si>
    <t xml:space="preserve">무료 공개로 정한 이유가 공유 유발이었음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</si>
  <si>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114</t>
    </r>
  </si>
  <si>
    <t xml:space="preserve">최종</t>
  </si>
  <si>
    <t xml:space="preserve">출시 전 전체 플로우 최종 리허설</t>
  </si>
  <si>
    <r>
      <rPr>
        <sz val="9.5"/>
        <rFont val="Noto Sans CJK SC"/>
        <family val="2"/>
      </rPr>
      <t xml:space="preserve">설치→온보딩→마킹→연습→결제까지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회 완주</t>
    </r>
  </si>
  <si>
    <t xml:space="preserve">부분 테스트만으로는 흐름의 단절을 못 봄</t>
  </si>
  <si>
    <t xml:space="preserve">D-3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</si>
  <si>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115</t>
    </r>
  </si>
  <si>
    <t xml:space="preserve">스토어 등록 정보 최종 오탈자 검수</t>
  </si>
  <si>
    <r>
      <rPr>
        <sz val="9.5"/>
        <rFont val="Noto Sans CJK SC"/>
        <family val="2"/>
      </rPr>
      <t xml:space="preserve">설명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스크린샷 캡션 전수</t>
    </r>
  </si>
  <si>
    <t xml:space="preserve">오탈자 하나가 아마추어처럼 보이게 함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</si>
  <si>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116</t>
    </r>
  </si>
  <si>
    <r>
      <rPr>
        <sz val="9.5"/>
        <rFont val="Noto Sans CJK SC"/>
        <family val="2"/>
      </rPr>
      <t xml:space="preserve">개인정보처리방침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약관 링크 동작 확인</t>
    </r>
  </si>
  <si>
    <t xml:space="preserve">스토어와 앱 양쪽에서 클릭 시 정상 접속</t>
  </si>
  <si>
    <t xml:space="preserve">링크 깨짐은 심사 거절 단골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</si>
  <si>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117</t>
    </r>
  </si>
  <si>
    <t xml:space="preserve">심사 제출</t>
  </si>
  <si>
    <t xml:space="preserve">프로덕션 트랙 제출</t>
  </si>
  <si>
    <t xml:space="preserve">심사에 수일 걸릴 수 있음</t>
  </si>
  <si>
    <t xml:space="preserve">D-2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</si>
  <si>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118</t>
    </r>
  </si>
  <si>
    <t xml:space="preserve">사후</t>
  </si>
  <si>
    <t xml:space="preserve">출시 당일 크래시 모니터링</t>
  </si>
  <si>
    <r>
      <rPr>
        <sz val="9.5"/>
        <rFont val="Noto Sans CJK SC"/>
        <family val="2"/>
      </rPr>
      <t xml:space="preserve">첫 </t>
    </r>
    <r>
      <rPr>
        <sz val="9.5"/>
        <rFont val="Arial"/>
        <family val="0"/>
        <charset val="1"/>
      </rPr>
      <t xml:space="preserve">24</t>
    </r>
    <r>
      <rPr>
        <sz val="9.5"/>
        <rFont val="Noto Sans CJK SC"/>
        <family val="2"/>
      </rPr>
      <t xml:space="preserve">시간 크래시율 확인</t>
    </r>
  </si>
  <si>
    <t xml:space="preserve">초기 크래시는 평점을 영구히 망침</t>
  </si>
  <si>
    <t xml:space="preserve">D+1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</si>
  <si>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119</t>
    </r>
  </si>
  <si>
    <t xml:space="preserve">첫 주 리뷰 전수 확인 및 응답</t>
  </si>
  <si>
    <t xml:space="preserve">모든 리뷰에 응답</t>
  </si>
  <si>
    <t xml:space="preserve">초기 리뷰 응답이 평점 회복의 핵심</t>
  </si>
  <si>
    <t xml:space="preserve">D+7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</si>
  <si>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120</t>
    </r>
  </si>
  <si>
    <r>
      <rPr>
        <sz val="9.5"/>
        <rFont val="Arial"/>
        <family val="0"/>
        <charset val="1"/>
      </rPr>
      <t xml:space="preserve">D7 </t>
    </r>
    <r>
      <rPr>
        <sz val="9.5"/>
        <rFont val="Noto Sans CJK SC"/>
        <family val="2"/>
      </rPr>
      <t xml:space="preserve">리텐션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차 확인</t>
    </r>
  </si>
  <si>
    <t xml:space="preserve">수치 기록 및 해석</t>
  </si>
  <si>
    <t xml:space="preserve">조기 신호로 방향 판단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</si>
  <si>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121</t>
    </r>
  </si>
  <si>
    <t xml:space="preserve">핫픽스 대응 여부 판단</t>
  </si>
  <si>
    <r>
      <rPr>
        <sz val="9.5"/>
        <rFont val="Noto Sans CJK SC"/>
        <family val="2"/>
      </rPr>
      <t xml:space="preserve">치명 버그 발견 시 </t>
    </r>
    <r>
      <rPr>
        <sz val="9.5"/>
        <rFont val="Arial"/>
        <family val="0"/>
        <charset val="1"/>
      </rPr>
      <t xml:space="preserve">1.0.1 </t>
    </r>
    <r>
      <rPr>
        <sz val="9.5"/>
        <rFont val="Noto Sans CJK SC"/>
        <family val="2"/>
      </rPr>
      <t xml:space="preserve">배포</t>
    </r>
  </si>
  <si>
    <t xml:space="preserve">대응 속도가 초기 신뢰를 만듦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</si>
  <si>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122</t>
    </r>
  </si>
  <si>
    <r>
      <rPr>
        <sz val="9.5"/>
        <rFont val="Arial"/>
        <family val="0"/>
        <charset val="1"/>
      </rPr>
      <t xml:space="preserve">D30 </t>
    </r>
    <r>
      <rPr>
        <sz val="9.5"/>
        <rFont val="Noto Sans CJK SC"/>
        <family val="2"/>
      </rPr>
      <t xml:space="preserve">리텐션 게이트 판정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목표 </t>
    </r>
    <r>
      <rPr>
        <sz val="9.5"/>
        <rFont val="Arial"/>
        <family val="0"/>
        <charset val="1"/>
      </rPr>
      <t xml:space="preserve">10%)</t>
    </r>
  </si>
  <si>
    <r>
      <rPr>
        <sz val="9.5"/>
        <rFont val="Noto Sans CJK SC"/>
        <family val="2"/>
      </rPr>
      <t xml:space="preserve">달성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미달 판정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다음 단계 결정</t>
    </r>
  </si>
  <si>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년차 계획 전체가 이 숫자에 달려 있음</t>
    </r>
  </si>
  <si>
    <t xml:space="preserve">D+30</t>
  </si>
  <si>
    <r>
      <rPr>
        <sz val="9.5"/>
        <rFont val="Noto Sans CJK SC"/>
        <family val="2"/>
      </rPr>
      <t xml:space="preserve">출</t>
    </r>
    <r>
      <rPr>
        <sz val="9.5"/>
        <rFont val="Arial"/>
        <family val="0"/>
        <charset val="1"/>
      </rPr>
      <t xml:space="preserve">123</t>
    </r>
  </si>
  <si>
    <t xml:space="preserve">회고 문서 작성</t>
  </si>
  <si>
    <t xml:space="preserve">무엇이 맞았고 무엇이 틀렸는지</t>
  </si>
  <si>
    <t xml:space="preserve">다음 제품을 위한 유일한 자산</t>
  </si>
  <si>
    <r>
      <rPr>
        <b val="true"/>
        <sz val="16"/>
        <color rgb="FF162618"/>
        <rFont val="Arial"/>
        <family val="0"/>
        <charset val="1"/>
      </rPr>
      <t xml:space="preserve">D-30 </t>
    </r>
    <r>
      <rPr>
        <b val="true"/>
        <sz val="16"/>
        <color rgb="FF162618"/>
        <rFont val="Noto Sans CJK SC"/>
        <family val="2"/>
      </rPr>
      <t xml:space="preserve">주차별 계획</t>
    </r>
  </si>
  <si>
    <r>
      <rPr>
        <sz val="9.5"/>
        <color rgb="FF777777"/>
        <rFont val="Noto Sans CJK SC"/>
        <family val="2"/>
      </rPr>
      <t xml:space="preserve">순서에 이유가 있습니다 — 승인 대기가 있는 일</t>
    </r>
    <r>
      <rPr>
        <sz val="9.5"/>
        <color rgb="FF777777"/>
        <rFont val="Arial"/>
        <family val="0"/>
        <charset val="1"/>
      </rPr>
      <t xml:space="preserve">(</t>
    </r>
    <r>
      <rPr>
        <sz val="9.5"/>
        <color rgb="FF777777"/>
        <rFont val="Noto Sans CJK SC"/>
        <family val="2"/>
      </rPr>
      <t xml:space="preserve">계정</t>
    </r>
    <r>
      <rPr>
        <sz val="9.5"/>
        <color rgb="FF777777"/>
        <rFont val="Arial"/>
        <family val="0"/>
        <charset val="1"/>
      </rPr>
      <t xml:space="preserve">·</t>
    </r>
    <r>
      <rPr>
        <sz val="9.5"/>
        <color rgb="FF777777"/>
        <rFont val="Noto Sans CJK SC"/>
        <family val="2"/>
      </rPr>
      <t xml:space="preserve">상표</t>
    </r>
    <r>
      <rPr>
        <sz val="9.5"/>
        <color rgb="FF777777"/>
        <rFont val="Arial"/>
        <family val="0"/>
        <charset val="1"/>
      </rPr>
      <t xml:space="preserve">·URL)</t>
    </r>
    <r>
      <rPr>
        <sz val="9.5"/>
        <color rgb="FF777777"/>
        <rFont val="Noto Sans CJK SC"/>
        <family val="2"/>
      </rPr>
      <t xml:space="preserve">을 가장 앞에 둡니다</t>
    </r>
    <r>
      <rPr>
        <sz val="9.5"/>
        <color rgb="FF777777"/>
        <rFont val="Arial"/>
        <family val="0"/>
        <charset val="1"/>
      </rPr>
      <t xml:space="preserve">.</t>
    </r>
  </si>
  <si>
    <t xml:space="preserve">구간</t>
  </si>
  <si>
    <t xml:space="preserve">주제</t>
  </si>
  <si>
    <t xml:space="preserve">이 주에 반드시 끝낼 것</t>
  </si>
  <si>
    <t xml:space="preserve">이 주가 밀리면 생기는 일</t>
  </si>
  <si>
    <t xml:space="preserve">D-30 ~ D-25</t>
  </si>
  <si>
    <r>
      <rPr>
        <sz val="9.5"/>
        <rFont val="Noto Sans CJK SC"/>
        <family val="2"/>
      </rPr>
      <t xml:space="preserve">승인 대기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미구현 </t>
    </r>
    <r>
      <rPr>
        <sz val="9.5"/>
        <rFont val="Arial"/>
        <family val="0"/>
        <charset val="1"/>
      </rPr>
      <t xml:space="preserve">4</t>
    </r>
    <r>
      <rPr>
        <sz val="9.5"/>
        <rFont val="Noto Sans CJK SC"/>
        <family val="2"/>
      </rPr>
      <t xml:space="preserve">건</t>
    </r>
  </si>
  <si>
    <r>
      <rPr>
        <sz val="9.5"/>
        <rFont val="Arial"/>
        <family val="0"/>
        <charset val="1"/>
      </rPr>
      <t xml:space="preserve">Play </t>
    </r>
    <r>
      <rPr>
        <sz val="9.5"/>
        <rFont val="Noto Sans CJK SC"/>
        <family val="2"/>
      </rPr>
      <t xml:space="preserve">개발자 계정 등록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신원확인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상표 검색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베타 테스터 섭외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오늘 밀린 </t>
    </r>
    <r>
      <rPr>
        <sz val="9.5"/>
        <rFont val="Arial"/>
        <family val="0"/>
        <charset val="1"/>
      </rPr>
      <t xml:space="preserve">UX 4</t>
    </r>
    <r>
      <rPr>
        <sz val="9.5"/>
        <rFont val="Noto Sans CJK SC"/>
        <family val="2"/>
      </rPr>
      <t xml:space="preserve">건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스윙 삭제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버튼 좌우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카운트인 </t>
    </r>
    <r>
      <rPr>
        <sz val="9.5"/>
        <rFont val="Arial"/>
        <family val="0"/>
        <charset val="1"/>
      </rPr>
      <t xml:space="preserve">5</t>
    </r>
    <r>
      <rPr>
        <sz val="9.5"/>
        <rFont val="Noto Sans CJK SC"/>
        <family val="2"/>
      </rPr>
      <t xml:space="preserve">초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정지→홈</t>
    </r>
    <r>
      <rPr>
        <sz val="9.5"/>
        <rFont val="Arial"/>
        <family val="0"/>
        <charset val="1"/>
      </rPr>
      <t xml:space="preserve">) / </t>
    </r>
    <r>
      <rPr>
        <sz val="9.5"/>
        <rFont val="Noto Sans CJK SC"/>
        <family val="2"/>
      </rPr>
      <t xml:space="preserve">사운드 톤앤매너 재설계</t>
    </r>
  </si>
  <si>
    <r>
      <rPr>
        <sz val="9.5"/>
        <rFont val="Noto Sans CJK SC"/>
        <family val="2"/>
      </rPr>
      <t xml:space="preserve">계정 승인은 내가 통제할 수 없습니다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여기서 밀리면 </t>
    </r>
    <r>
      <rPr>
        <sz val="9.5"/>
        <rFont val="Arial"/>
        <family val="0"/>
        <charset val="1"/>
      </rPr>
      <t xml:space="preserve">D-day </t>
    </r>
    <r>
      <rPr>
        <sz val="9.5"/>
        <rFont val="Noto Sans CJK SC"/>
        <family val="2"/>
      </rPr>
      <t xml:space="preserve">전체가 그대로 밀립니다</t>
    </r>
    <r>
      <rPr>
        <sz val="9.5"/>
        <rFont val="Arial"/>
        <family val="0"/>
        <charset val="1"/>
      </rPr>
      <t xml:space="preserve">.</t>
    </r>
  </si>
  <si>
    <t xml:space="preserve">D-24 ~ D-18</t>
  </si>
  <si>
    <r>
      <rPr>
        <sz val="9.5"/>
        <rFont val="Noto Sans CJK SC"/>
        <family val="2"/>
      </rPr>
      <t xml:space="preserve">법무 문서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결제 구현</t>
    </r>
  </si>
  <si>
    <r>
      <rPr>
        <sz val="9.5"/>
        <rFont val="Noto Sans CJK SC"/>
        <family val="2"/>
      </rPr>
      <t xml:space="preserve">약관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처리방침 확정 및 공개 </t>
    </r>
    <r>
      <rPr>
        <sz val="9.5"/>
        <rFont val="Arial"/>
        <family val="0"/>
        <charset val="1"/>
      </rPr>
      <t xml:space="preserve">URL / IAP </t>
    </r>
    <r>
      <rPr>
        <sz val="9.5"/>
        <rFont val="Noto Sans CJK SC"/>
        <family val="2"/>
      </rPr>
      <t xml:space="preserve">연동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복원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페이월 </t>
    </r>
    <r>
      <rPr>
        <sz val="9.5"/>
        <rFont val="Arial"/>
        <family val="0"/>
        <charset val="1"/>
      </rPr>
      <t xml:space="preserve">/ EAS </t>
    </r>
    <r>
      <rPr>
        <sz val="9.5"/>
        <rFont val="Noto Sans CJK SC"/>
        <family val="2"/>
      </rPr>
      <t xml:space="preserve">프로덕션 빌드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서명키 백업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내부 테스트 업로드</t>
    </r>
  </si>
  <si>
    <r>
      <rPr>
        <sz val="9.5"/>
        <rFont val="Noto Sans CJK SC"/>
        <family val="2"/>
      </rPr>
      <t xml:space="preserve">결제는 가장 늦게 손대면 안 되는 영역입니다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테스트에만 며칠이 필요합니다</t>
    </r>
    <r>
      <rPr>
        <sz val="9.5"/>
        <rFont val="Arial"/>
        <family val="0"/>
        <charset val="1"/>
      </rPr>
      <t xml:space="preserve">.</t>
    </r>
  </si>
  <si>
    <t xml:space="preserve">D-17 ~ D-11</t>
  </si>
  <si>
    <r>
      <rPr>
        <sz val="9.5"/>
        <rFont val="Noto Sans CJK SC"/>
        <family val="2"/>
      </rPr>
      <t xml:space="preserve">스토어 자산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계측</t>
    </r>
  </si>
  <si>
    <r>
      <rPr>
        <sz val="9.5"/>
        <rFont val="Noto Sans CJK SC"/>
        <family val="2"/>
      </rPr>
      <t xml:space="preserve">스크린샷</t>
    </r>
    <r>
      <rPr>
        <sz val="9.5"/>
        <rFont val="Arial"/>
        <family val="0"/>
        <charset val="1"/>
      </rPr>
      <t xml:space="preserve">·Feature Graphic·</t>
    </r>
    <r>
      <rPr>
        <sz val="9.5"/>
        <rFont val="Noto Sans CJK SC"/>
        <family val="2"/>
      </rPr>
      <t xml:space="preserve">설명문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데이터 안전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콘텐츠 등급 </t>
    </r>
    <r>
      <rPr>
        <sz val="9.5"/>
        <rFont val="Arial"/>
        <family val="0"/>
        <charset val="1"/>
      </rPr>
      <t xml:space="preserve">/ PostHog </t>
    </r>
    <r>
      <rPr>
        <sz val="9.5"/>
        <rFont val="Noto Sans CJK SC"/>
        <family val="2"/>
      </rPr>
      <t xml:space="preserve">연동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크래시 리포팅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클로즈드 베타 시작</t>
    </r>
  </si>
  <si>
    <r>
      <rPr>
        <sz val="9.5"/>
        <rFont val="Noto Sans CJK SC"/>
        <family val="2"/>
      </rPr>
      <t xml:space="preserve">스토어 자산이 없으면 제출 버튼 자체를 못 누릅니다</t>
    </r>
    <r>
      <rPr>
        <sz val="9.5"/>
        <rFont val="Arial"/>
        <family val="0"/>
        <charset val="1"/>
      </rPr>
      <t xml:space="preserve">.</t>
    </r>
  </si>
  <si>
    <t xml:space="preserve">D-10 ~ D-4</t>
  </si>
  <si>
    <r>
      <rPr>
        <sz val="9.5"/>
        <rFont val="Arial"/>
        <family val="0"/>
        <charset val="1"/>
      </rPr>
      <t xml:space="preserve">QA </t>
    </r>
    <r>
      <rPr>
        <sz val="9.5"/>
        <rFont val="Noto Sans CJK SC"/>
        <family val="2"/>
      </rPr>
      <t xml:space="preserve">집중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베타 피드백</t>
    </r>
  </si>
  <si>
    <r>
      <rPr>
        <sz val="9.5"/>
        <rFont val="Noto Sans CJK SC"/>
        <family val="2"/>
      </rPr>
      <t xml:space="preserve">기종별 크래시 </t>
    </r>
    <r>
      <rPr>
        <sz val="9.5"/>
        <rFont val="Arial"/>
        <family val="0"/>
        <charset val="1"/>
      </rPr>
      <t xml:space="preserve">0</t>
    </r>
    <r>
      <rPr>
        <sz val="9.5"/>
        <rFont val="Noto Sans CJK SC"/>
        <family val="2"/>
      </rPr>
      <t xml:space="preserve">건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결제 시나리오 전수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접근성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다크모드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오프라인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베타 피드백 정리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문구 최종 검수</t>
    </r>
  </si>
  <si>
    <r>
      <rPr>
        <sz val="9.5"/>
        <rFont val="Noto Sans CJK SC"/>
        <family val="2"/>
      </rPr>
      <t xml:space="preserve">이 구간을 건너뛰면 초기 평점이 무너지고 회복에 수개월 걸립니다</t>
    </r>
    <r>
      <rPr>
        <sz val="9.5"/>
        <rFont val="Arial"/>
        <family val="0"/>
        <charset val="1"/>
      </rPr>
      <t xml:space="preserve">.</t>
    </r>
  </si>
  <si>
    <t xml:space="preserve">D-3 ~ D-0</t>
  </si>
  <si>
    <r>
      <rPr>
        <sz val="9.5"/>
        <rFont val="Noto Sans CJK SC"/>
        <family val="2"/>
      </rPr>
      <t xml:space="preserve">전체 플로우 리허설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오탈자 검수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링크 동작 확인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단계적 출시 비율 결정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심사 제출</t>
    </r>
  </si>
  <si>
    <r>
      <rPr>
        <sz val="9.5"/>
        <rFont val="Noto Sans CJK SC"/>
        <family val="2"/>
      </rPr>
      <t xml:space="preserve">심사에 며칠 걸릴 수 있으므로 </t>
    </r>
    <r>
      <rPr>
        <sz val="9.5"/>
        <rFont val="Arial"/>
        <family val="0"/>
        <charset val="1"/>
      </rPr>
      <t xml:space="preserve">D-0</t>
    </r>
    <r>
      <rPr>
        <sz val="9.5"/>
        <rFont val="Noto Sans CJK SC"/>
        <family val="2"/>
      </rPr>
      <t xml:space="preserve">에 제출하면 이미 늦습니다</t>
    </r>
    <r>
      <rPr>
        <sz val="9.5"/>
        <rFont val="Arial"/>
        <family val="0"/>
        <charset val="1"/>
      </rPr>
      <t xml:space="preserve">.</t>
    </r>
  </si>
  <si>
    <t xml:space="preserve">D+1 ~ D+30</t>
  </si>
  <si>
    <t xml:space="preserve">사후 대응</t>
  </si>
  <si>
    <r>
      <rPr>
        <sz val="9.5"/>
        <rFont val="Noto Sans CJK SC"/>
        <family val="2"/>
      </rPr>
      <t xml:space="preserve">크래시 모니터링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리뷰 전수 응답 </t>
    </r>
    <r>
      <rPr>
        <sz val="9.5"/>
        <rFont val="Arial"/>
        <family val="0"/>
        <charset val="1"/>
      </rPr>
      <t xml:space="preserve">/ D7 </t>
    </r>
    <r>
      <rPr>
        <sz val="9.5"/>
        <rFont val="Noto Sans CJK SC"/>
        <family val="2"/>
      </rPr>
      <t xml:space="preserve">리텐션 확인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핫픽스 </t>
    </r>
    <r>
      <rPr>
        <sz val="9.5"/>
        <rFont val="Arial"/>
        <family val="0"/>
        <charset val="1"/>
      </rPr>
      <t xml:space="preserve">/ D30 </t>
    </r>
    <r>
      <rPr>
        <sz val="9.5"/>
        <rFont val="Noto Sans CJK SC"/>
        <family val="2"/>
      </rPr>
      <t xml:space="preserve">게이트 판정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회고</t>
    </r>
  </si>
  <si>
    <r>
      <rPr>
        <sz val="9.5"/>
        <rFont val="Noto Sans CJK SC"/>
        <family val="2"/>
      </rPr>
      <t xml:space="preserve">출시는 끝이 아니라 측정의 시작입니다</t>
    </r>
    <r>
      <rPr>
        <sz val="9.5"/>
        <rFont val="Arial"/>
        <family val="0"/>
        <charset val="1"/>
      </rPr>
      <t xml:space="preserve">. D30 </t>
    </r>
    <r>
      <rPr>
        <sz val="9.5"/>
        <rFont val="Noto Sans CJK SC"/>
        <family val="2"/>
      </rPr>
      <t xml:space="preserve">게이트가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년차 계획 전체를 좌우합니다</t>
    </r>
    <r>
      <rPr>
        <sz val="9.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</si>
</sst>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2618"/>
      <name val="Arial"/>
      <family val="0"/>
      <charset val="1"/>
    </font>
    <font>
      <b val="true"/>
      <sz val="18"/>
      <color rgb="FF162618"/>
      <name val="Noto Sans CJK SC"/>
      <family val="2"/>
    </font>
    <font>
      <sz val="9.5"/>
      <color rgb="FF777777"/>
      <name val="Arial"/>
      <family val="0"/>
      <charset val="1"/>
    </font>
    <font>
      <sz val="9.5"/>
      <color rgb="FF777777"/>
      <name val="Noto Sans CJK SC"/>
      <family val="2"/>
    </font>
    <font>
      <b val="true"/>
      <sz val="11"/>
      <color rgb="FF3F6136"/>
      <name val="Noto Sans CJK SC"/>
      <family val="2"/>
    </font>
    <font>
      <b val="true"/>
      <sz val="26"/>
      <color rgb="FF162618"/>
      <name val="Arial"/>
      <family val="0"/>
      <charset val="1"/>
    </font>
    <font>
      <b val="true"/>
      <sz val="26"/>
      <color rgb="FFC9932B"/>
      <name val="Arial"/>
      <family val="0"/>
      <charset val="1"/>
    </font>
    <font>
      <sz val="9"/>
      <color rgb="FF777777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9932B"/>
      <name val="Arial"/>
      <family val="0"/>
      <charset val="1"/>
    </font>
    <font>
      <b val="true"/>
      <sz val="11"/>
      <color rgb="FFA83A2E"/>
      <name val="Arial"/>
      <family val="0"/>
      <charset val="1"/>
    </font>
    <font>
      <b val="true"/>
      <sz val="11"/>
      <color rgb="FFA83A2E"/>
      <name val="Noto Sans CJK SC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sz val="9.5"/>
      <color rgb="FF444444"/>
      <name val="Arial"/>
      <family val="0"/>
      <charset val="1"/>
    </font>
    <font>
      <sz val="9.5"/>
      <color rgb="FF444444"/>
      <name val="Noto Sans CJK SC"/>
      <family val="2"/>
    </font>
    <font>
      <b val="true"/>
      <sz val="10"/>
      <color rgb="FFFFFFFF"/>
      <name val="Arial"/>
      <family val="0"/>
      <charset val="1"/>
    </font>
    <font>
      <sz val="9.5"/>
      <name val="Noto Sans CJK SC"/>
      <family val="2"/>
    </font>
    <font>
      <sz val="9.5"/>
      <name val="Arial"/>
      <family val="0"/>
      <charset val="1"/>
    </font>
    <font>
      <sz val="9.5"/>
      <color rgb="FF0000FF"/>
      <name val="Noto Sans CJK SC"/>
      <family val="2"/>
    </font>
    <font>
      <sz val="9.5"/>
      <color rgb="FF0000FF"/>
      <name val="Arial"/>
      <family val="0"/>
      <charset val="1"/>
    </font>
    <font>
      <b val="true"/>
      <sz val="16"/>
      <color rgb="FF162618"/>
      <name val="Arial"/>
      <family val="0"/>
      <charset val="1"/>
    </font>
    <font>
      <b val="true"/>
      <sz val="16"/>
      <color rgb="FF162618"/>
      <name val="Noto Sans CJK SC"/>
      <family val="2"/>
    </font>
    <font>
      <b val="true"/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618"/>
        <bgColor rgb="FF333300"/>
      </patternFill>
    </fill>
    <fill>
      <patternFill patternType="solid">
        <fgColor rgb="FFF1F4EE"/>
        <bgColor rgb="FFEAF2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D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6261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E4E1"/>
          <bgColor rgb="FF000000"/>
        </patternFill>
      </fill>
    </dxf>
    <dxf>
      <fill>
        <patternFill patternType="solid">
          <fgColor rgb="FFFDF3E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83A2E"/>
          <bgColor rgb="FF000000"/>
        </patternFill>
      </fill>
    </dxf>
    <dxf>
      <fill>
        <patternFill patternType="solid">
          <fgColor rgb="FFEAF2E6"/>
          <bgColor rgb="FF000000"/>
        </patternFill>
      </fill>
    </dxf>
    <dxf>
      <fill>
        <patternFill>
          <bgColor rgb="FFEAF2E6"/>
        </patternFill>
      </fill>
    </dxf>
    <dxf>
      <font>
        <name val="Arial"/>
        <charset val="1"/>
        <family val="0"/>
        <b val="1"/>
        <color rgb="FFA83A2E"/>
        <sz val="9"/>
      </font>
      <fill>
        <patternFill>
          <bgColor rgb="FFF7E4E1"/>
        </patternFill>
      </fill>
    </dxf>
    <dxf>
      <fill>
        <patternFill>
          <bgColor rgb="FFFDF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DF3E3"/>
      <rgbColor rgb="FFEAF2E6"/>
      <rgbColor rgb="FF660066"/>
      <rgbColor rgb="FFFF8080"/>
      <rgbColor rgb="FF0066CC"/>
      <rgbColor rgb="FFD5DD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EE"/>
      <rgbColor rgb="FFCCFFCC"/>
      <rgbColor rgb="FFFFFF99"/>
      <rgbColor rgb="FF99CCFF"/>
      <rgbColor rgb="FFFF99CC"/>
      <rgbColor rgb="FFCC99FF"/>
      <rgbColor rgb="FFF7E4E1"/>
      <rgbColor rgb="FF3366FF"/>
      <rgbColor rgb="FF33CCCC"/>
      <rgbColor rgb="FF99CC00"/>
      <rgbColor rgb="FFFFCC00"/>
      <rgbColor rgb="FFC9932B"/>
      <rgbColor rgb="FFFF6600"/>
      <rgbColor rgb="FF3F6136"/>
      <rgbColor rgb="FF969696"/>
      <rgbColor rgb="FF003366"/>
      <rgbColor rgb="FF339966"/>
      <rgbColor rgb="FF162618"/>
      <rgbColor rgb="FF333300"/>
      <rgbColor rgb="FFA83A2E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2"/>
    <col collapsed="false" customWidth="true" hidden="false" outlineLevel="0" max="8" min="8" style="0" width="14"/>
  </cols>
  <sheetData>
    <row r="2" customFormat="false" ht="27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false" outlineLevel="0" collapsed="false">
      <c r="B6" s="4" t="n">
        <f aca="false">COUNTIF(체크리스트!J2:J124,"완료")</f>
        <v>6</v>
      </c>
      <c r="C6" s="4" t="n">
        <f aca="false">COUNTA(체크리스트!A2:A124)-COUNTIF(체크리스트!J2:J124,"해당없음")</f>
        <v>123</v>
      </c>
      <c r="D6" s="5" t="n">
        <f aca="false">IFERROR(B6/C6,0)</f>
        <v>0.0487804878048781</v>
      </c>
    </row>
    <row r="7" customFormat="false" ht="15" hidden="false" customHeight="false" outlineLevel="0" collapsed="false">
      <c r="B7" s="6" t="s">
        <v>3</v>
      </c>
      <c r="C7" s="6" t="s">
        <v>4</v>
      </c>
      <c r="D7" s="6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7" t="s">
        <v>7</v>
      </c>
      <c r="C10" s="7" t="s">
        <v>8</v>
      </c>
      <c r="D10" s="7" t="s">
        <v>3</v>
      </c>
      <c r="E10" s="7" t="s">
        <v>9</v>
      </c>
      <c r="F10" s="7" t="s">
        <v>10</v>
      </c>
      <c r="G10" s="7" t="s">
        <v>11</v>
      </c>
      <c r="H10" s="7" t="s">
        <v>5</v>
      </c>
    </row>
    <row r="11" customFormat="false" ht="15" hidden="false" customHeight="false" outlineLevel="0" collapsed="false">
      <c r="B11" s="8" t="s">
        <v>12</v>
      </c>
      <c r="C11" s="9" t="n">
        <f aca="false">COUNTIF(체크리스트!$B$2:$B$124,$B11)</f>
        <v>13</v>
      </c>
      <c r="D11" s="9" t="n">
        <f aca="false">COUNTIFS(체크리스트!$B$2:$B$124,$B11,체크리스트!$J$2:$J$124,"완료")</f>
        <v>1</v>
      </c>
      <c r="E11" s="9" t="n">
        <f aca="false">COUNTIFS(체크리스트!$B$2:$B$124,$B11,체크리스트!$J$2:$J$124,"진행중")</f>
        <v>1</v>
      </c>
      <c r="F11" s="9" t="n">
        <f aca="false">COUNTIFS(체크리스트!$B$2:$B$124,$B11,체크리스트!$J$2:$J$124,"대기")</f>
        <v>10</v>
      </c>
      <c r="G11" s="9" t="n">
        <f aca="false">COUNTIFS(체크리스트!$B$2:$B$124,$B11,체크리스트!$J$2:$J$124,"차단")</f>
        <v>1</v>
      </c>
      <c r="H11" s="10" t="n">
        <f aca="false">IFERROR(D11/C11,0)</f>
        <v>0.0769230769230769</v>
      </c>
    </row>
    <row r="12" customFormat="false" ht="15" hidden="false" customHeight="false" outlineLevel="0" collapsed="false">
      <c r="B12" s="8" t="s">
        <v>13</v>
      </c>
      <c r="C12" s="9" t="n">
        <f aca="false">COUNTIF(체크리스트!$B$2:$B$124,$B12)</f>
        <v>23</v>
      </c>
      <c r="D12" s="9" t="n">
        <f aca="false">COUNTIFS(체크리스트!$B$2:$B$124,$B12,체크리스트!$J$2:$J$124,"완료")</f>
        <v>1</v>
      </c>
      <c r="E12" s="9" t="n">
        <f aca="false">COUNTIFS(체크리스트!$B$2:$B$124,$B12,체크리스트!$J$2:$J$124,"진행중")</f>
        <v>0</v>
      </c>
      <c r="F12" s="9" t="n">
        <f aca="false">COUNTIFS(체크리스트!$B$2:$B$124,$B12,체크리스트!$J$2:$J$124,"대기")</f>
        <v>22</v>
      </c>
      <c r="G12" s="9" t="n">
        <f aca="false">COUNTIFS(체크리스트!$B$2:$B$124,$B12,체크리스트!$J$2:$J$124,"차단")</f>
        <v>0</v>
      </c>
      <c r="H12" s="10" t="n">
        <f aca="false">IFERROR(D12/C12,0)</f>
        <v>0.0434782608695652</v>
      </c>
    </row>
    <row r="13" customFormat="false" ht="15" hidden="false" customHeight="false" outlineLevel="0" collapsed="false">
      <c r="B13" s="8" t="s">
        <v>14</v>
      </c>
      <c r="C13" s="9" t="n">
        <f aca="false">COUNTIF(체크리스트!$B$2:$B$124,$B13)</f>
        <v>32</v>
      </c>
      <c r="D13" s="9" t="n">
        <f aca="false">COUNTIFS(체크리스트!$B$2:$B$124,$B13,체크리스트!$J$2:$J$124,"완료")</f>
        <v>0</v>
      </c>
      <c r="E13" s="9" t="n">
        <f aca="false">COUNTIFS(체크리스트!$B$2:$B$124,$B13,체크리스트!$J$2:$J$124,"진행중")</f>
        <v>1</v>
      </c>
      <c r="F13" s="9" t="n">
        <f aca="false">COUNTIFS(체크리스트!$B$2:$B$124,$B13,체크리스트!$J$2:$J$124,"대기")</f>
        <v>30</v>
      </c>
      <c r="G13" s="9" t="n">
        <f aca="false">COUNTIFS(체크리스트!$B$2:$B$124,$B13,체크리스트!$J$2:$J$124,"차단")</f>
        <v>1</v>
      </c>
      <c r="H13" s="10" t="n">
        <f aca="false">IFERROR(D13/C13,0)</f>
        <v>0</v>
      </c>
    </row>
    <row r="14" customFormat="false" ht="15" hidden="false" customHeight="false" outlineLevel="0" collapsed="false">
      <c r="B14" s="8" t="s">
        <v>15</v>
      </c>
      <c r="C14" s="9" t="n">
        <f aca="false">COUNTIF(체크리스트!$B$2:$B$124,$B14)</f>
        <v>12</v>
      </c>
      <c r="D14" s="9" t="n">
        <f aca="false">COUNTIFS(체크리스트!$B$2:$B$124,$B14,체크리스트!$J$2:$J$124,"완료")</f>
        <v>3</v>
      </c>
      <c r="E14" s="9" t="n">
        <f aca="false">COUNTIFS(체크리스트!$B$2:$B$124,$B14,체크리스트!$J$2:$J$124,"진행중")</f>
        <v>2</v>
      </c>
      <c r="F14" s="9" t="n">
        <f aca="false">COUNTIFS(체크리스트!$B$2:$B$124,$B14,체크리스트!$J$2:$J$124,"대기")</f>
        <v>5</v>
      </c>
      <c r="G14" s="9" t="n">
        <f aca="false">COUNTIFS(체크리스트!$B$2:$B$124,$B14,체크리스트!$J$2:$J$124,"차단")</f>
        <v>2</v>
      </c>
      <c r="H14" s="10" t="n">
        <f aca="false">IFERROR(D14/C14,0)</f>
        <v>0.25</v>
      </c>
    </row>
    <row r="15" customFormat="false" ht="15" hidden="false" customHeight="false" outlineLevel="0" collapsed="false">
      <c r="B15" s="8" t="s">
        <v>16</v>
      </c>
      <c r="C15" s="9" t="n">
        <f aca="false">COUNTIF(체크리스트!$B$2:$B$124,$B15)</f>
        <v>12</v>
      </c>
      <c r="D15" s="9" t="n">
        <f aca="false">COUNTIFS(체크리스트!$B$2:$B$124,$B15,체크리스트!$J$2:$J$124,"완료")</f>
        <v>1</v>
      </c>
      <c r="E15" s="9" t="n">
        <f aca="false">COUNTIFS(체크리스트!$B$2:$B$124,$B15,체크리스트!$J$2:$J$124,"진행중")</f>
        <v>1</v>
      </c>
      <c r="F15" s="9" t="n">
        <f aca="false">COUNTIFS(체크리스트!$B$2:$B$124,$B15,체크리스트!$J$2:$J$124,"대기")</f>
        <v>10</v>
      </c>
      <c r="G15" s="9" t="n">
        <f aca="false">COUNTIFS(체크리스트!$B$2:$B$124,$B15,체크리스트!$J$2:$J$124,"차단")</f>
        <v>0</v>
      </c>
      <c r="H15" s="10" t="n">
        <f aca="false">IFERROR(D15/C15,0)</f>
        <v>0.0833333333333333</v>
      </c>
    </row>
    <row r="16" customFormat="false" ht="15" hidden="false" customHeight="false" outlineLevel="0" collapsed="false">
      <c r="B16" s="8" t="s">
        <v>17</v>
      </c>
      <c r="C16" s="9" t="n">
        <f aca="false">COUNTIF(체크리스트!$B$2:$B$124,$B16)</f>
        <v>8</v>
      </c>
      <c r="D16" s="9" t="n">
        <f aca="false">COUNTIFS(체크리스트!$B$2:$B$124,$B16,체크리스트!$J$2:$J$124,"완료")</f>
        <v>0</v>
      </c>
      <c r="E16" s="9" t="n">
        <f aca="false">COUNTIFS(체크리스트!$B$2:$B$124,$B16,체크리스트!$J$2:$J$124,"진행중")</f>
        <v>0</v>
      </c>
      <c r="F16" s="9" t="n">
        <f aca="false">COUNTIFS(체크리스트!$B$2:$B$124,$B16,체크리스트!$J$2:$J$124,"대기")</f>
        <v>8</v>
      </c>
      <c r="G16" s="9" t="n">
        <f aca="false">COUNTIFS(체크리스트!$B$2:$B$124,$B16,체크리스트!$J$2:$J$124,"차단")</f>
        <v>0</v>
      </c>
      <c r="H16" s="10" t="n">
        <f aca="false">IFERROR(D16/C16,0)</f>
        <v>0</v>
      </c>
    </row>
    <row r="17" customFormat="false" ht="15" hidden="false" customHeight="false" outlineLevel="0" collapsed="false">
      <c r="B17" s="8" t="s">
        <v>18</v>
      </c>
      <c r="C17" s="9" t="n">
        <f aca="false">COUNTIF(체크리스트!$B$2:$B$124,$B17)</f>
        <v>13</v>
      </c>
      <c r="D17" s="9" t="n">
        <f aca="false">COUNTIFS(체크리스트!$B$2:$B$124,$B17,체크리스트!$J$2:$J$124,"완료")</f>
        <v>0</v>
      </c>
      <c r="E17" s="9" t="n">
        <f aca="false">COUNTIFS(체크리스트!$B$2:$B$124,$B17,체크리스트!$J$2:$J$124,"진행중")</f>
        <v>0</v>
      </c>
      <c r="F17" s="9" t="n">
        <f aca="false">COUNTIFS(체크리스트!$B$2:$B$124,$B17,체크리스트!$J$2:$J$124,"대기")</f>
        <v>13</v>
      </c>
      <c r="G17" s="9" t="n">
        <f aca="false">COUNTIFS(체크리스트!$B$2:$B$124,$B17,체크리스트!$J$2:$J$124,"차단")</f>
        <v>0</v>
      </c>
      <c r="H17" s="10" t="n">
        <f aca="false">IFERROR(D17/C17,0)</f>
        <v>0</v>
      </c>
    </row>
    <row r="18" customFormat="false" ht="15" hidden="false" customHeight="false" outlineLevel="0" collapsed="false">
      <c r="B18" s="8" t="s">
        <v>19</v>
      </c>
      <c r="C18" s="9" t="n">
        <f aca="false">COUNTIF(체크리스트!$B$2:$B$124,$B18)</f>
        <v>10</v>
      </c>
      <c r="D18" s="9" t="n">
        <f aca="false">COUNTIFS(체크리스트!$B$2:$B$124,$B18,체크리스트!$J$2:$J$124,"완료")</f>
        <v>0</v>
      </c>
      <c r="E18" s="9" t="n">
        <f aca="false">COUNTIFS(체크리스트!$B$2:$B$124,$B18,체크리스트!$J$2:$J$124,"진행중")</f>
        <v>0</v>
      </c>
      <c r="F18" s="9" t="n">
        <f aca="false">COUNTIFS(체크리스트!$B$2:$B$124,$B18,체크리스트!$J$2:$J$124,"대기")</f>
        <v>10</v>
      </c>
      <c r="G18" s="9" t="n">
        <f aca="false">COUNTIFS(체크리스트!$B$2:$B$124,$B18,체크리스트!$J$2:$J$124,"차단")</f>
        <v>0</v>
      </c>
      <c r="H18" s="10" t="n">
        <f aca="false">IFERROR(D18/C18,0)</f>
        <v>0</v>
      </c>
    </row>
    <row r="19" customFormat="false" ht="15" hidden="false" customHeight="false" outlineLevel="0" collapsed="false">
      <c r="B19" s="8" t="s">
        <v>20</v>
      </c>
      <c r="C19" s="11" t="n">
        <f aca="false">SUM(C11:C18)</f>
        <v>123</v>
      </c>
      <c r="D19" s="11" t="n">
        <f aca="false">SUM(D11:D18)</f>
        <v>6</v>
      </c>
      <c r="E19" s="11" t="n">
        <f aca="false">SUM(E11:E18)</f>
        <v>5</v>
      </c>
      <c r="F19" s="11" t="n">
        <f aca="false">SUM(F11:F18)</f>
        <v>108</v>
      </c>
      <c r="G19" s="11" t="n">
        <f aca="false">SUM(G11:G18)</f>
        <v>4</v>
      </c>
      <c r="H19" s="12" t="n">
        <f aca="false">IFERROR(D19/C19,0)</f>
        <v>0.0487804878048781</v>
      </c>
    </row>
    <row r="21" customFormat="false" ht="17.15" hidden="false" customHeight="false" outlineLevel="0" collapsed="false">
      <c r="B21" s="13" t="s">
        <v>21</v>
      </c>
    </row>
    <row r="22" customFormat="false" ht="15" hidden="false" customHeight="false" outlineLevel="0" collapsed="false">
      <c r="B22" s="14" t="s">
        <v>22</v>
      </c>
      <c r="C22" s="15" t="n">
        <f aca="false">COUNTIF(체크리스트!$H$2:$H$124,"P0")</f>
        <v>84</v>
      </c>
    </row>
    <row r="23" customFormat="false" ht="15" hidden="false" customHeight="false" outlineLevel="0" collapsed="false">
      <c r="B23" s="14" t="s">
        <v>23</v>
      </c>
      <c r="C23" s="15" t="n">
        <f aca="false">COUNTIFS(체크리스트!$H$2:$H$124,"P0",체크리스트!$J$2:$J$124,"완료")</f>
        <v>5</v>
      </c>
    </row>
    <row r="24" customFormat="false" ht="15" hidden="false" customHeight="false" outlineLevel="0" collapsed="false">
      <c r="B24" s="14" t="s">
        <v>24</v>
      </c>
      <c r="C24" s="15" t="n">
        <f aca="false">COUNTIFS(체크리스트!$H$2:$H$124,"P0",체크리스트!$J$2:$J$124,"차단")</f>
        <v>2</v>
      </c>
    </row>
    <row r="25" customFormat="false" ht="15" hidden="false" customHeight="false" outlineLevel="0" collapsed="false">
      <c r="B25" s="14" t="s">
        <v>25</v>
      </c>
      <c r="C25" s="16" t="n">
        <f aca="false">IFERROR(C23/C22,0)</f>
        <v>0.0595238095238095</v>
      </c>
    </row>
    <row r="27" customFormat="false" ht="15" hidden="false" customHeight="false" outlineLevel="0" collapsed="false">
      <c r="B27" s="3" t="s">
        <v>26</v>
      </c>
    </row>
    <row r="28" customFormat="false" ht="15" hidden="false" customHeight="false" outlineLevel="0" collapsed="false">
      <c r="B28" s="17" t="s">
        <v>27</v>
      </c>
    </row>
    <row r="29" customFormat="false" ht="15" hidden="false" customHeight="false" outlineLevel="0" collapsed="false">
      <c r="B29" s="17" t="s">
        <v>28</v>
      </c>
    </row>
    <row r="30" customFormat="false" ht="15" hidden="false" customHeight="false" outlineLevel="0" collapsed="false">
      <c r="B30" s="17" t="s">
        <v>29</v>
      </c>
    </row>
    <row r="31" customFormat="false" ht="15" hidden="false" customHeight="false" outlineLevel="0" collapsed="false">
      <c r="B31" s="17" t="s">
        <v>30</v>
      </c>
    </row>
    <row r="32" customFormat="false" ht="15" hidden="false" customHeight="false" outlineLevel="0" collapsed="false">
      <c r="B32" s="17" t="s">
        <v>31</v>
      </c>
    </row>
    <row r="33" customFormat="false" ht="15" hidden="false" customHeight="false" outlineLevel="0" collapsed="false">
      <c r="B33" s="1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38"/>
    <col collapsed="false" customWidth="true" hidden="false" outlineLevel="0" max="6" min="5" style="0" width="42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20"/>
  </cols>
  <sheetData>
    <row r="1" customFormat="false" ht="33.75" hidden="false" customHeight="true" outlineLevel="0" collapsed="false">
      <c r="A1" s="18" t="s">
        <v>33</v>
      </c>
      <c r="B1" s="19" t="s">
        <v>7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19" t="s">
        <v>43</v>
      </c>
    </row>
    <row r="2" customFormat="false" ht="29.85" hidden="false" customHeight="false" outlineLevel="0" collapsed="false">
      <c r="A2" s="20" t="s">
        <v>44</v>
      </c>
      <c r="B2" s="21" t="s">
        <v>12</v>
      </c>
      <c r="C2" s="21" t="s">
        <v>45</v>
      </c>
      <c r="D2" s="21" t="s">
        <v>46</v>
      </c>
      <c r="E2" s="21" t="s">
        <v>47</v>
      </c>
      <c r="F2" s="21" t="s">
        <v>48</v>
      </c>
      <c r="G2" s="22" t="s">
        <v>49</v>
      </c>
      <c r="H2" s="23" t="s">
        <v>50</v>
      </c>
      <c r="I2" s="23" t="s">
        <v>51</v>
      </c>
      <c r="J2" s="24" t="s">
        <v>10</v>
      </c>
      <c r="K2" s="25"/>
      <c r="L2" s="25"/>
    </row>
    <row r="3" customFormat="false" ht="29.85" hidden="false" customHeight="false" outlineLevel="0" collapsed="false">
      <c r="A3" s="20" t="s">
        <v>52</v>
      </c>
      <c r="B3" s="21" t="s">
        <v>12</v>
      </c>
      <c r="C3" s="21" t="s">
        <v>45</v>
      </c>
      <c r="D3" s="21" t="s">
        <v>53</v>
      </c>
      <c r="E3" s="21" t="s">
        <v>54</v>
      </c>
      <c r="F3" s="21" t="s">
        <v>55</v>
      </c>
      <c r="G3" s="21" t="s">
        <v>56</v>
      </c>
      <c r="H3" s="23" t="s">
        <v>57</v>
      </c>
      <c r="I3" s="23" t="s">
        <v>58</v>
      </c>
      <c r="J3" s="24" t="s">
        <v>10</v>
      </c>
      <c r="K3" s="25"/>
      <c r="L3" s="25"/>
    </row>
    <row r="4" customFormat="false" ht="29.85" hidden="false" customHeight="false" outlineLevel="0" collapsed="false">
      <c r="A4" s="20" t="s">
        <v>59</v>
      </c>
      <c r="B4" s="21" t="s">
        <v>12</v>
      </c>
      <c r="C4" s="21" t="s">
        <v>45</v>
      </c>
      <c r="D4" s="21" t="s">
        <v>60</v>
      </c>
      <c r="E4" s="21" t="s">
        <v>61</v>
      </c>
      <c r="F4" s="22" t="s">
        <v>62</v>
      </c>
      <c r="G4" s="22" t="s">
        <v>49</v>
      </c>
      <c r="H4" s="23" t="s">
        <v>57</v>
      </c>
      <c r="I4" s="23" t="s">
        <v>58</v>
      </c>
      <c r="J4" s="24" t="s">
        <v>10</v>
      </c>
      <c r="K4" s="25"/>
      <c r="L4" s="25"/>
    </row>
    <row r="5" customFormat="false" ht="29.85" hidden="false" customHeight="false" outlineLevel="0" collapsed="false">
      <c r="A5" s="20" t="s">
        <v>63</v>
      </c>
      <c r="B5" s="21" t="s">
        <v>12</v>
      </c>
      <c r="C5" s="21" t="s">
        <v>64</v>
      </c>
      <c r="D5" s="21" t="s">
        <v>65</v>
      </c>
      <c r="E5" s="21" t="s">
        <v>66</v>
      </c>
      <c r="F5" s="21" t="s">
        <v>67</v>
      </c>
      <c r="G5" s="22" t="s">
        <v>49</v>
      </c>
      <c r="H5" s="23" t="s">
        <v>50</v>
      </c>
      <c r="I5" s="23" t="s">
        <v>68</v>
      </c>
      <c r="J5" s="24" t="s">
        <v>9</v>
      </c>
      <c r="K5" s="25"/>
      <c r="L5" s="25"/>
    </row>
    <row r="6" customFormat="false" ht="29.85" hidden="false" customHeight="false" outlineLevel="0" collapsed="false">
      <c r="A6" s="20" t="s">
        <v>69</v>
      </c>
      <c r="B6" s="21" t="s">
        <v>12</v>
      </c>
      <c r="C6" s="21" t="s">
        <v>64</v>
      </c>
      <c r="D6" s="21" t="s">
        <v>70</v>
      </c>
      <c r="E6" s="22" t="s">
        <v>71</v>
      </c>
      <c r="F6" s="22" t="s">
        <v>72</v>
      </c>
      <c r="G6" s="21" t="s">
        <v>56</v>
      </c>
      <c r="H6" s="23" t="s">
        <v>50</v>
      </c>
      <c r="I6" s="23" t="s">
        <v>68</v>
      </c>
      <c r="J6" s="24" t="s">
        <v>11</v>
      </c>
      <c r="K6" s="25"/>
      <c r="L6" s="25"/>
    </row>
    <row r="7" customFormat="false" ht="15" hidden="false" customHeight="false" outlineLevel="0" collapsed="false">
      <c r="A7" s="20" t="s">
        <v>73</v>
      </c>
      <c r="B7" s="21" t="s">
        <v>12</v>
      </c>
      <c r="C7" s="21" t="s">
        <v>64</v>
      </c>
      <c r="D7" s="22" t="s">
        <v>74</v>
      </c>
      <c r="E7" s="21" t="s">
        <v>75</v>
      </c>
      <c r="F7" s="21" t="s">
        <v>76</v>
      </c>
      <c r="G7" s="22" t="s">
        <v>49</v>
      </c>
      <c r="H7" s="23" t="s">
        <v>50</v>
      </c>
      <c r="I7" s="23" t="s">
        <v>77</v>
      </c>
      <c r="J7" s="24" t="s">
        <v>10</v>
      </c>
      <c r="K7" s="25"/>
      <c r="L7" s="25"/>
    </row>
    <row r="8" customFormat="false" ht="15" hidden="false" customHeight="false" outlineLevel="0" collapsed="false">
      <c r="A8" s="20" t="s">
        <v>78</v>
      </c>
      <c r="B8" s="21" t="s">
        <v>12</v>
      </c>
      <c r="C8" s="21" t="s">
        <v>79</v>
      </c>
      <c r="D8" s="21" t="s">
        <v>80</v>
      </c>
      <c r="E8" s="21" t="s">
        <v>81</v>
      </c>
      <c r="F8" s="22" t="s">
        <v>82</v>
      </c>
      <c r="G8" s="22" t="s">
        <v>49</v>
      </c>
      <c r="H8" s="23" t="s">
        <v>50</v>
      </c>
      <c r="I8" s="23" t="s">
        <v>68</v>
      </c>
      <c r="J8" s="24" t="s">
        <v>10</v>
      </c>
      <c r="K8" s="25"/>
      <c r="L8" s="25"/>
    </row>
    <row r="9" customFormat="false" ht="29.85" hidden="false" customHeight="false" outlineLevel="0" collapsed="false">
      <c r="A9" s="20" t="s">
        <v>83</v>
      </c>
      <c r="B9" s="21" t="s">
        <v>12</v>
      </c>
      <c r="C9" s="21" t="s">
        <v>79</v>
      </c>
      <c r="D9" s="21" t="s">
        <v>84</v>
      </c>
      <c r="E9" s="22" t="s">
        <v>85</v>
      </c>
      <c r="F9" s="21" t="s">
        <v>86</v>
      </c>
      <c r="G9" s="22" t="s">
        <v>49</v>
      </c>
      <c r="H9" s="23" t="s">
        <v>50</v>
      </c>
      <c r="I9" s="23" t="s">
        <v>87</v>
      </c>
      <c r="J9" s="24" t="s">
        <v>10</v>
      </c>
      <c r="K9" s="25"/>
      <c r="L9" s="25"/>
    </row>
    <row r="10" customFormat="false" ht="15" hidden="false" customHeight="false" outlineLevel="0" collapsed="false">
      <c r="A10" s="20" t="s">
        <v>88</v>
      </c>
      <c r="B10" s="21" t="s">
        <v>12</v>
      </c>
      <c r="C10" s="21" t="s">
        <v>79</v>
      </c>
      <c r="D10" s="21" t="s">
        <v>89</v>
      </c>
      <c r="E10" s="21" t="s">
        <v>90</v>
      </c>
      <c r="F10" s="21" t="s">
        <v>91</v>
      </c>
      <c r="G10" s="21" t="s">
        <v>56</v>
      </c>
      <c r="H10" s="23" t="s">
        <v>50</v>
      </c>
      <c r="I10" s="23" t="s">
        <v>87</v>
      </c>
      <c r="J10" s="24" t="s">
        <v>10</v>
      </c>
      <c r="K10" s="25"/>
      <c r="L10" s="25"/>
    </row>
    <row r="11" customFormat="false" ht="29.85" hidden="false" customHeight="false" outlineLevel="0" collapsed="false">
      <c r="A11" s="20" t="s">
        <v>92</v>
      </c>
      <c r="B11" s="21" t="s">
        <v>12</v>
      </c>
      <c r="C11" s="21" t="s">
        <v>93</v>
      </c>
      <c r="D11" s="22" t="s">
        <v>94</v>
      </c>
      <c r="E11" s="21" t="s">
        <v>95</v>
      </c>
      <c r="F11" s="21" t="s">
        <v>96</v>
      </c>
      <c r="G11" s="22" t="s">
        <v>49</v>
      </c>
      <c r="H11" s="23" t="s">
        <v>50</v>
      </c>
      <c r="I11" s="23" t="s">
        <v>77</v>
      </c>
      <c r="J11" s="24" t="s">
        <v>10</v>
      </c>
      <c r="K11" s="25"/>
      <c r="L11" s="25"/>
    </row>
    <row r="12" customFormat="false" ht="15" hidden="false" customHeight="false" outlineLevel="0" collapsed="false">
      <c r="A12" s="20" t="s">
        <v>97</v>
      </c>
      <c r="B12" s="21" t="s">
        <v>12</v>
      </c>
      <c r="C12" s="21" t="s">
        <v>98</v>
      </c>
      <c r="D12" s="21" t="s">
        <v>99</v>
      </c>
      <c r="E12" s="21" t="s">
        <v>100</v>
      </c>
      <c r="F12" s="22" t="s">
        <v>101</v>
      </c>
      <c r="G12" s="22" t="s">
        <v>49</v>
      </c>
      <c r="H12" s="23" t="s">
        <v>57</v>
      </c>
      <c r="I12" s="23" t="s">
        <v>77</v>
      </c>
      <c r="J12" s="24" t="s">
        <v>3</v>
      </c>
      <c r="K12" s="25"/>
      <c r="L12" s="25"/>
    </row>
    <row r="13" customFormat="false" ht="15" hidden="false" customHeight="false" outlineLevel="0" collapsed="false">
      <c r="A13" s="20" t="s">
        <v>102</v>
      </c>
      <c r="B13" s="21" t="s">
        <v>12</v>
      </c>
      <c r="C13" s="21" t="s">
        <v>98</v>
      </c>
      <c r="D13" s="22" t="s">
        <v>103</v>
      </c>
      <c r="E13" s="22" t="s">
        <v>104</v>
      </c>
      <c r="F13" s="21" t="s">
        <v>105</v>
      </c>
      <c r="G13" s="22" t="s">
        <v>49</v>
      </c>
      <c r="H13" s="23" t="s">
        <v>57</v>
      </c>
      <c r="I13" s="23" t="s">
        <v>77</v>
      </c>
      <c r="J13" s="24" t="s">
        <v>10</v>
      </c>
      <c r="K13" s="25"/>
      <c r="L13" s="25"/>
    </row>
    <row r="14" customFormat="false" ht="15" hidden="false" customHeight="false" outlineLevel="0" collapsed="false">
      <c r="A14" s="20" t="s">
        <v>106</v>
      </c>
      <c r="B14" s="21" t="s">
        <v>12</v>
      </c>
      <c r="C14" s="21" t="s">
        <v>107</v>
      </c>
      <c r="D14" s="21" t="s">
        <v>108</v>
      </c>
      <c r="E14" s="21" t="s">
        <v>109</v>
      </c>
      <c r="F14" s="21" t="s">
        <v>110</v>
      </c>
      <c r="G14" s="22" t="s">
        <v>49</v>
      </c>
      <c r="H14" s="23" t="s">
        <v>57</v>
      </c>
      <c r="I14" s="23" t="s">
        <v>77</v>
      </c>
      <c r="J14" s="24" t="s">
        <v>10</v>
      </c>
      <c r="K14" s="25"/>
      <c r="L14" s="25"/>
    </row>
    <row r="15" customFormat="false" ht="29.85" hidden="false" customHeight="false" outlineLevel="0" collapsed="false">
      <c r="A15" s="20" t="s">
        <v>111</v>
      </c>
      <c r="B15" s="21" t="s">
        <v>13</v>
      </c>
      <c r="C15" s="21" t="s">
        <v>112</v>
      </c>
      <c r="D15" s="22" t="s">
        <v>113</v>
      </c>
      <c r="E15" s="21" t="s">
        <v>114</v>
      </c>
      <c r="F15" s="21" t="s">
        <v>115</v>
      </c>
      <c r="G15" s="21" t="s">
        <v>56</v>
      </c>
      <c r="H15" s="23" t="s">
        <v>50</v>
      </c>
      <c r="I15" s="23" t="s">
        <v>116</v>
      </c>
      <c r="J15" s="24" t="s">
        <v>10</v>
      </c>
      <c r="K15" s="25"/>
      <c r="L15" s="25"/>
    </row>
    <row r="16" customFormat="false" ht="15" hidden="false" customHeight="false" outlineLevel="0" collapsed="false">
      <c r="A16" s="20" t="s">
        <v>117</v>
      </c>
      <c r="B16" s="21" t="s">
        <v>13</v>
      </c>
      <c r="C16" s="21" t="s">
        <v>112</v>
      </c>
      <c r="D16" s="21" t="s">
        <v>118</v>
      </c>
      <c r="E16" s="22" t="s">
        <v>119</v>
      </c>
      <c r="F16" s="22" t="s">
        <v>120</v>
      </c>
      <c r="G16" s="21" t="s">
        <v>56</v>
      </c>
      <c r="H16" s="23" t="s">
        <v>50</v>
      </c>
      <c r="I16" s="23" t="s">
        <v>51</v>
      </c>
      <c r="J16" s="24" t="s">
        <v>10</v>
      </c>
      <c r="K16" s="25"/>
      <c r="L16" s="25"/>
    </row>
    <row r="17" customFormat="false" ht="15" hidden="false" customHeight="false" outlineLevel="0" collapsed="false">
      <c r="A17" s="20" t="s">
        <v>121</v>
      </c>
      <c r="B17" s="21" t="s">
        <v>13</v>
      </c>
      <c r="C17" s="21" t="s">
        <v>112</v>
      </c>
      <c r="D17" s="21" t="s">
        <v>122</v>
      </c>
      <c r="E17" s="21" t="s">
        <v>123</v>
      </c>
      <c r="F17" s="21" t="s">
        <v>124</v>
      </c>
      <c r="G17" s="21" t="s">
        <v>56</v>
      </c>
      <c r="H17" s="23" t="s">
        <v>50</v>
      </c>
      <c r="I17" s="23" t="s">
        <v>51</v>
      </c>
      <c r="J17" s="24" t="s">
        <v>10</v>
      </c>
      <c r="K17" s="25"/>
      <c r="L17" s="25"/>
    </row>
    <row r="18" customFormat="false" ht="15" hidden="false" customHeight="false" outlineLevel="0" collapsed="false">
      <c r="A18" s="20" t="s">
        <v>125</v>
      </c>
      <c r="B18" s="21" t="s">
        <v>13</v>
      </c>
      <c r="C18" s="21" t="s">
        <v>112</v>
      </c>
      <c r="D18" s="22" t="s">
        <v>126</v>
      </c>
      <c r="E18" s="22" t="s">
        <v>127</v>
      </c>
      <c r="F18" s="21" t="s">
        <v>128</v>
      </c>
      <c r="G18" s="21" t="s">
        <v>56</v>
      </c>
      <c r="H18" s="23" t="s">
        <v>50</v>
      </c>
      <c r="I18" s="23" t="s">
        <v>51</v>
      </c>
      <c r="J18" s="24" t="s">
        <v>10</v>
      </c>
      <c r="K18" s="25"/>
      <c r="L18" s="25"/>
    </row>
    <row r="19" customFormat="false" ht="15" hidden="false" customHeight="false" outlineLevel="0" collapsed="false">
      <c r="A19" s="20" t="s">
        <v>129</v>
      </c>
      <c r="B19" s="21" t="s">
        <v>13</v>
      </c>
      <c r="C19" s="21" t="s">
        <v>130</v>
      </c>
      <c r="D19" s="21" t="s">
        <v>131</v>
      </c>
      <c r="E19" s="21" t="s">
        <v>132</v>
      </c>
      <c r="F19" s="21" t="s">
        <v>133</v>
      </c>
      <c r="G19" s="22" t="s">
        <v>134</v>
      </c>
      <c r="H19" s="23" t="s">
        <v>50</v>
      </c>
      <c r="I19" s="23" t="s">
        <v>68</v>
      </c>
      <c r="J19" s="24" t="s">
        <v>10</v>
      </c>
      <c r="K19" s="25"/>
      <c r="L19" s="25"/>
    </row>
    <row r="20" customFormat="false" ht="15" hidden="false" customHeight="false" outlineLevel="0" collapsed="false">
      <c r="A20" s="20" t="s">
        <v>135</v>
      </c>
      <c r="B20" s="21" t="s">
        <v>13</v>
      </c>
      <c r="C20" s="21" t="s">
        <v>130</v>
      </c>
      <c r="D20" s="21" t="s">
        <v>136</v>
      </c>
      <c r="E20" s="21" t="s">
        <v>137</v>
      </c>
      <c r="F20" s="21" t="s">
        <v>138</v>
      </c>
      <c r="G20" s="22" t="s">
        <v>134</v>
      </c>
      <c r="H20" s="23" t="s">
        <v>50</v>
      </c>
      <c r="I20" s="23" t="s">
        <v>87</v>
      </c>
      <c r="J20" s="24" t="s">
        <v>10</v>
      </c>
      <c r="K20" s="25"/>
      <c r="L20" s="25"/>
    </row>
    <row r="21" customFormat="false" ht="15" hidden="false" customHeight="false" outlineLevel="0" collapsed="false">
      <c r="A21" s="20" t="s">
        <v>139</v>
      </c>
      <c r="B21" s="21" t="s">
        <v>13</v>
      </c>
      <c r="C21" s="21" t="s">
        <v>130</v>
      </c>
      <c r="D21" s="21" t="s">
        <v>140</v>
      </c>
      <c r="E21" s="21" t="s">
        <v>141</v>
      </c>
      <c r="F21" s="21" t="s">
        <v>142</v>
      </c>
      <c r="G21" s="22" t="s">
        <v>134</v>
      </c>
      <c r="H21" s="23" t="s">
        <v>50</v>
      </c>
      <c r="I21" s="23" t="s">
        <v>87</v>
      </c>
      <c r="J21" s="24" t="s">
        <v>10</v>
      </c>
      <c r="K21" s="25"/>
      <c r="L21" s="25"/>
    </row>
    <row r="22" customFormat="false" ht="15" hidden="false" customHeight="false" outlineLevel="0" collapsed="false">
      <c r="A22" s="20" t="s">
        <v>143</v>
      </c>
      <c r="B22" s="21" t="s">
        <v>13</v>
      </c>
      <c r="C22" s="21" t="s">
        <v>130</v>
      </c>
      <c r="D22" s="22" t="s">
        <v>144</v>
      </c>
      <c r="E22" s="21" t="s">
        <v>145</v>
      </c>
      <c r="F22" s="21" t="s">
        <v>146</v>
      </c>
      <c r="G22" s="22" t="s">
        <v>134</v>
      </c>
      <c r="H22" s="23" t="s">
        <v>57</v>
      </c>
      <c r="I22" s="23" t="s">
        <v>68</v>
      </c>
      <c r="J22" s="24" t="s">
        <v>10</v>
      </c>
      <c r="K22" s="25"/>
      <c r="L22" s="25"/>
    </row>
    <row r="23" customFormat="false" ht="15" hidden="false" customHeight="false" outlineLevel="0" collapsed="false">
      <c r="A23" s="20" t="s">
        <v>147</v>
      </c>
      <c r="B23" s="21" t="s">
        <v>13</v>
      </c>
      <c r="C23" s="21" t="s">
        <v>148</v>
      </c>
      <c r="D23" s="21" t="s">
        <v>149</v>
      </c>
      <c r="E23" s="22" t="s">
        <v>150</v>
      </c>
      <c r="F23" s="21" t="s">
        <v>151</v>
      </c>
      <c r="G23" s="22" t="s">
        <v>152</v>
      </c>
      <c r="H23" s="23" t="s">
        <v>50</v>
      </c>
      <c r="I23" s="23" t="s">
        <v>68</v>
      </c>
      <c r="J23" s="24" t="s">
        <v>3</v>
      </c>
      <c r="K23" s="25"/>
      <c r="L23" s="25"/>
    </row>
    <row r="24" customFormat="false" ht="15" hidden="false" customHeight="false" outlineLevel="0" collapsed="false">
      <c r="A24" s="20" t="s">
        <v>153</v>
      </c>
      <c r="B24" s="21" t="s">
        <v>13</v>
      </c>
      <c r="C24" s="21" t="s">
        <v>148</v>
      </c>
      <c r="D24" s="22" t="s">
        <v>154</v>
      </c>
      <c r="E24" s="21" t="s">
        <v>155</v>
      </c>
      <c r="F24" s="22" t="s">
        <v>156</v>
      </c>
      <c r="G24" s="22" t="s">
        <v>152</v>
      </c>
      <c r="H24" s="23" t="s">
        <v>50</v>
      </c>
      <c r="I24" s="23" t="s">
        <v>87</v>
      </c>
      <c r="J24" s="24" t="s">
        <v>10</v>
      </c>
      <c r="K24" s="25"/>
      <c r="L24" s="25"/>
    </row>
    <row r="25" customFormat="false" ht="15" hidden="false" customHeight="false" outlineLevel="0" collapsed="false">
      <c r="A25" s="20" t="s">
        <v>157</v>
      </c>
      <c r="B25" s="21" t="s">
        <v>13</v>
      </c>
      <c r="C25" s="21" t="s">
        <v>148</v>
      </c>
      <c r="D25" s="21" t="s">
        <v>158</v>
      </c>
      <c r="E25" s="21" t="s">
        <v>159</v>
      </c>
      <c r="F25" s="21" t="s">
        <v>160</v>
      </c>
      <c r="G25" s="22" t="s">
        <v>152</v>
      </c>
      <c r="H25" s="23" t="s">
        <v>50</v>
      </c>
      <c r="I25" s="23" t="s">
        <v>77</v>
      </c>
      <c r="J25" s="24" t="s">
        <v>10</v>
      </c>
      <c r="K25" s="25"/>
      <c r="L25" s="25"/>
    </row>
    <row r="26" customFormat="false" ht="15" hidden="false" customHeight="false" outlineLevel="0" collapsed="false">
      <c r="A26" s="20" t="s">
        <v>161</v>
      </c>
      <c r="B26" s="21" t="s">
        <v>13</v>
      </c>
      <c r="C26" s="21" t="s">
        <v>148</v>
      </c>
      <c r="D26" s="21" t="s">
        <v>162</v>
      </c>
      <c r="E26" s="21" t="s">
        <v>163</v>
      </c>
      <c r="F26" s="21" t="s">
        <v>164</v>
      </c>
      <c r="G26" s="22" t="s">
        <v>152</v>
      </c>
      <c r="H26" s="23" t="s">
        <v>57</v>
      </c>
      <c r="I26" s="23" t="s">
        <v>77</v>
      </c>
      <c r="J26" s="24" t="s">
        <v>10</v>
      </c>
      <c r="K26" s="25"/>
      <c r="L26" s="25"/>
    </row>
    <row r="27" customFormat="false" ht="15" hidden="false" customHeight="false" outlineLevel="0" collapsed="false">
      <c r="A27" s="20" t="s">
        <v>165</v>
      </c>
      <c r="B27" s="21" t="s">
        <v>13</v>
      </c>
      <c r="C27" s="21" t="s">
        <v>148</v>
      </c>
      <c r="D27" s="21" t="s">
        <v>166</v>
      </c>
      <c r="E27" s="22" t="s">
        <v>167</v>
      </c>
      <c r="F27" s="21" t="s">
        <v>168</v>
      </c>
      <c r="G27" s="22" t="s">
        <v>152</v>
      </c>
      <c r="H27" s="23" t="s">
        <v>169</v>
      </c>
      <c r="I27" s="23" t="s">
        <v>170</v>
      </c>
      <c r="J27" s="24" t="s">
        <v>10</v>
      </c>
      <c r="K27" s="25"/>
      <c r="L27" s="25"/>
    </row>
    <row r="28" customFormat="false" ht="15" hidden="false" customHeight="false" outlineLevel="0" collapsed="false">
      <c r="A28" s="20" t="s">
        <v>171</v>
      </c>
      <c r="B28" s="21" t="s">
        <v>13</v>
      </c>
      <c r="C28" s="21" t="s">
        <v>148</v>
      </c>
      <c r="D28" s="21" t="s">
        <v>172</v>
      </c>
      <c r="E28" s="22" t="s">
        <v>173</v>
      </c>
      <c r="F28" s="21" t="s">
        <v>174</v>
      </c>
      <c r="G28" s="22" t="s">
        <v>134</v>
      </c>
      <c r="H28" s="23" t="s">
        <v>169</v>
      </c>
      <c r="I28" s="23" t="s">
        <v>175</v>
      </c>
      <c r="J28" s="24" t="s">
        <v>10</v>
      </c>
      <c r="K28" s="25"/>
      <c r="L28" s="25"/>
    </row>
    <row r="29" customFormat="false" ht="15" hidden="false" customHeight="false" outlineLevel="0" collapsed="false">
      <c r="A29" s="20" t="s">
        <v>176</v>
      </c>
      <c r="B29" s="21" t="s">
        <v>13</v>
      </c>
      <c r="C29" s="21" t="s">
        <v>177</v>
      </c>
      <c r="D29" s="21" t="s">
        <v>178</v>
      </c>
      <c r="E29" s="21" t="s">
        <v>179</v>
      </c>
      <c r="F29" s="21" t="s">
        <v>180</v>
      </c>
      <c r="G29" s="22" t="s">
        <v>49</v>
      </c>
      <c r="H29" s="23" t="s">
        <v>50</v>
      </c>
      <c r="I29" s="23" t="s">
        <v>77</v>
      </c>
      <c r="J29" s="24" t="s">
        <v>10</v>
      </c>
      <c r="K29" s="25"/>
      <c r="L29" s="25"/>
    </row>
    <row r="30" customFormat="false" ht="15" hidden="false" customHeight="false" outlineLevel="0" collapsed="false">
      <c r="A30" s="20" t="s">
        <v>181</v>
      </c>
      <c r="B30" s="21" t="s">
        <v>13</v>
      </c>
      <c r="C30" s="21" t="s">
        <v>177</v>
      </c>
      <c r="D30" s="21" t="s">
        <v>182</v>
      </c>
      <c r="E30" s="22" t="s">
        <v>183</v>
      </c>
      <c r="F30" s="21" t="s">
        <v>184</v>
      </c>
      <c r="G30" s="21" t="s">
        <v>56</v>
      </c>
      <c r="H30" s="23" t="s">
        <v>50</v>
      </c>
      <c r="I30" s="23" t="s">
        <v>77</v>
      </c>
      <c r="J30" s="24" t="s">
        <v>10</v>
      </c>
      <c r="K30" s="25"/>
      <c r="L30" s="25"/>
    </row>
    <row r="31" customFormat="false" ht="15" hidden="false" customHeight="false" outlineLevel="0" collapsed="false">
      <c r="A31" s="20" t="s">
        <v>185</v>
      </c>
      <c r="B31" s="21" t="s">
        <v>13</v>
      </c>
      <c r="C31" s="21" t="s">
        <v>177</v>
      </c>
      <c r="D31" s="21" t="s">
        <v>186</v>
      </c>
      <c r="E31" s="21" t="s">
        <v>187</v>
      </c>
      <c r="F31" s="21" t="s">
        <v>188</v>
      </c>
      <c r="G31" s="22" t="s">
        <v>49</v>
      </c>
      <c r="H31" s="23" t="s">
        <v>50</v>
      </c>
      <c r="I31" s="23" t="s">
        <v>77</v>
      </c>
      <c r="J31" s="24" t="s">
        <v>10</v>
      </c>
      <c r="K31" s="25"/>
      <c r="L31" s="25"/>
    </row>
    <row r="32" customFormat="false" ht="15" hidden="false" customHeight="false" outlineLevel="0" collapsed="false">
      <c r="A32" s="20" t="s">
        <v>189</v>
      </c>
      <c r="B32" s="21" t="s">
        <v>13</v>
      </c>
      <c r="C32" s="21" t="s">
        <v>177</v>
      </c>
      <c r="D32" s="21" t="s">
        <v>190</v>
      </c>
      <c r="E32" s="22" t="s">
        <v>191</v>
      </c>
      <c r="F32" s="21" t="s">
        <v>192</v>
      </c>
      <c r="G32" s="22" t="s">
        <v>49</v>
      </c>
      <c r="H32" s="23" t="s">
        <v>50</v>
      </c>
      <c r="I32" s="23" t="s">
        <v>77</v>
      </c>
      <c r="J32" s="24" t="s">
        <v>10</v>
      </c>
      <c r="K32" s="25"/>
      <c r="L32" s="25"/>
    </row>
    <row r="33" customFormat="false" ht="15" hidden="false" customHeight="false" outlineLevel="0" collapsed="false">
      <c r="A33" s="20" t="s">
        <v>193</v>
      </c>
      <c r="B33" s="21" t="s">
        <v>13</v>
      </c>
      <c r="C33" s="21" t="s">
        <v>177</v>
      </c>
      <c r="D33" s="21" t="s">
        <v>194</v>
      </c>
      <c r="E33" s="21" t="s">
        <v>195</v>
      </c>
      <c r="F33" s="21" t="s">
        <v>196</v>
      </c>
      <c r="G33" s="22" t="s">
        <v>197</v>
      </c>
      <c r="H33" s="23" t="s">
        <v>57</v>
      </c>
      <c r="I33" s="23" t="s">
        <v>87</v>
      </c>
      <c r="J33" s="24" t="s">
        <v>10</v>
      </c>
      <c r="K33" s="25"/>
      <c r="L33" s="25"/>
    </row>
    <row r="34" customFormat="false" ht="15" hidden="false" customHeight="false" outlineLevel="0" collapsed="false">
      <c r="A34" s="20" t="s">
        <v>198</v>
      </c>
      <c r="B34" s="21" t="s">
        <v>13</v>
      </c>
      <c r="C34" s="21" t="s">
        <v>177</v>
      </c>
      <c r="D34" s="21" t="s">
        <v>199</v>
      </c>
      <c r="E34" s="21" t="s">
        <v>200</v>
      </c>
      <c r="F34" s="21" t="s">
        <v>201</v>
      </c>
      <c r="G34" s="22" t="s">
        <v>49</v>
      </c>
      <c r="H34" s="23" t="s">
        <v>50</v>
      </c>
      <c r="I34" s="23" t="s">
        <v>77</v>
      </c>
      <c r="J34" s="24" t="s">
        <v>10</v>
      </c>
      <c r="K34" s="25"/>
      <c r="L34" s="25"/>
    </row>
    <row r="35" customFormat="false" ht="15" hidden="false" customHeight="false" outlineLevel="0" collapsed="false">
      <c r="A35" s="20" t="s">
        <v>202</v>
      </c>
      <c r="B35" s="21" t="s">
        <v>13</v>
      </c>
      <c r="C35" s="21" t="s">
        <v>203</v>
      </c>
      <c r="D35" s="21" t="s">
        <v>204</v>
      </c>
      <c r="E35" s="21" t="s">
        <v>205</v>
      </c>
      <c r="F35" s="21" t="s">
        <v>206</v>
      </c>
      <c r="G35" s="22" t="s">
        <v>207</v>
      </c>
      <c r="H35" s="23" t="s">
        <v>50</v>
      </c>
      <c r="I35" s="23" t="s">
        <v>68</v>
      </c>
      <c r="J35" s="24" t="s">
        <v>10</v>
      </c>
      <c r="K35" s="25"/>
      <c r="L35" s="25"/>
    </row>
    <row r="36" customFormat="false" ht="29.85" hidden="false" customHeight="false" outlineLevel="0" collapsed="false">
      <c r="A36" s="20" t="s">
        <v>208</v>
      </c>
      <c r="B36" s="21" t="s">
        <v>13</v>
      </c>
      <c r="C36" s="21" t="s">
        <v>203</v>
      </c>
      <c r="D36" s="21" t="s">
        <v>209</v>
      </c>
      <c r="E36" s="21" t="s">
        <v>210</v>
      </c>
      <c r="F36" s="21" t="s">
        <v>211</v>
      </c>
      <c r="G36" s="21" t="s">
        <v>56</v>
      </c>
      <c r="H36" s="23" t="s">
        <v>50</v>
      </c>
      <c r="I36" s="23" t="s">
        <v>68</v>
      </c>
      <c r="J36" s="24" t="s">
        <v>10</v>
      </c>
      <c r="K36" s="25"/>
      <c r="L36" s="25"/>
    </row>
    <row r="37" customFormat="false" ht="15" hidden="false" customHeight="false" outlineLevel="0" collapsed="false">
      <c r="A37" s="20" t="s">
        <v>212</v>
      </c>
      <c r="B37" s="21" t="s">
        <v>13</v>
      </c>
      <c r="C37" s="21" t="s">
        <v>203</v>
      </c>
      <c r="D37" s="21" t="s">
        <v>213</v>
      </c>
      <c r="E37" s="21" t="s">
        <v>214</v>
      </c>
      <c r="F37" s="21" t="s">
        <v>215</v>
      </c>
      <c r="G37" s="22" t="s">
        <v>134</v>
      </c>
      <c r="H37" s="23" t="s">
        <v>169</v>
      </c>
      <c r="I37" s="23" t="s">
        <v>170</v>
      </c>
      <c r="J37" s="24" t="s">
        <v>10</v>
      </c>
      <c r="K37" s="25"/>
      <c r="L37" s="25"/>
    </row>
    <row r="38" customFormat="false" ht="29.85" hidden="false" customHeight="false" outlineLevel="0" collapsed="false">
      <c r="A38" s="20" t="s">
        <v>216</v>
      </c>
      <c r="B38" s="21" t="s">
        <v>14</v>
      </c>
      <c r="C38" s="21" t="s">
        <v>217</v>
      </c>
      <c r="D38" s="21" t="s">
        <v>218</v>
      </c>
      <c r="E38" s="21" t="s">
        <v>219</v>
      </c>
      <c r="F38" s="21" t="s">
        <v>220</v>
      </c>
      <c r="G38" s="22" t="s">
        <v>207</v>
      </c>
      <c r="H38" s="23" t="s">
        <v>50</v>
      </c>
      <c r="I38" s="23" t="s">
        <v>58</v>
      </c>
      <c r="J38" s="24" t="s">
        <v>10</v>
      </c>
      <c r="K38" s="25"/>
      <c r="L38" s="25"/>
    </row>
    <row r="39" customFormat="false" ht="15" hidden="false" customHeight="false" outlineLevel="0" collapsed="false">
      <c r="A39" s="20" t="s">
        <v>221</v>
      </c>
      <c r="B39" s="21" t="s">
        <v>14</v>
      </c>
      <c r="C39" s="21" t="s">
        <v>217</v>
      </c>
      <c r="D39" s="21" t="s">
        <v>222</v>
      </c>
      <c r="E39" s="21" t="s">
        <v>223</v>
      </c>
      <c r="F39" s="21" t="s">
        <v>224</v>
      </c>
      <c r="G39" s="22" t="s">
        <v>152</v>
      </c>
      <c r="H39" s="23" t="s">
        <v>50</v>
      </c>
      <c r="I39" s="23" t="s">
        <v>58</v>
      </c>
      <c r="J39" s="24" t="s">
        <v>10</v>
      </c>
      <c r="K39" s="25"/>
      <c r="L39" s="25"/>
    </row>
    <row r="40" customFormat="false" ht="15" hidden="false" customHeight="false" outlineLevel="0" collapsed="false">
      <c r="A40" s="20" t="s">
        <v>225</v>
      </c>
      <c r="B40" s="21" t="s">
        <v>14</v>
      </c>
      <c r="C40" s="21" t="s">
        <v>217</v>
      </c>
      <c r="D40" s="21" t="s">
        <v>226</v>
      </c>
      <c r="E40" s="21" t="s">
        <v>227</v>
      </c>
      <c r="F40" s="22" t="s">
        <v>228</v>
      </c>
      <c r="G40" s="22" t="s">
        <v>207</v>
      </c>
      <c r="H40" s="23" t="s">
        <v>50</v>
      </c>
      <c r="I40" s="23" t="s">
        <v>58</v>
      </c>
      <c r="J40" s="24" t="s">
        <v>10</v>
      </c>
      <c r="K40" s="25"/>
      <c r="L40" s="25"/>
    </row>
    <row r="41" customFormat="false" ht="15" hidden="false" customHeight="false" outlineLevel="0" collapsed="false">
      <c r="A41" s="20" t="s">
        <v>229</v>
      </c>
      <c r="B41" s="21" t="s">
        <v>14</v>
      </c>
      <c r="C41" s="21" t="s">
        <v>217</v>
      </c>
      <c r="D41" s="21" t="s">
        <v>230</v>
      </c>
      <c r="E41" s="21" t="s">
        <v>231</v>
      </c>
      <c r="F41" s="21" t="s">
        <v>232</v>
      </c>
      <c r="G41" s="22" t="s">
        <v>207</v>
      </c>
      <c r="H41" s="23" t="s">
        <v>50</v>
      </c>
      <c r="I41" s="23" t="s">
        <v>58</v>
      </c>
      <c r="J41" s="24" t="s">
        <v>10</v>
      </c>
      <c r="K41" s="25"/>
      <c r="L41" s="25"/>
    </row>
    <row r="42" customFormat="false" ht="15" hidden="false" customHeight="false" outlineLevel="0" collapsed="false">
      <c r="A42" s="20" t="s">
        <v>233</v>
      </c>
      <c r="B42" s="21" t="s">
        <v>14</v>
      </c>
      <c r="C42" s="21" t="s">
        <v>234</v>
      </c>
      <c r="D42" s="21" t="s">
        <v>235</v>
      </c>
      <c r="E42" s="21" t="s">
        <v>236</v>
      </c>
      <c r="F42" s="22" t="s">
        <v>237</v>
      </c>
      <c r="G42" s="22" t="s">
        <v>152</v>
      </c>
      <c r="H42" s="23" t="s">
        <v>50</v>
      </c>
      <c r="I42" s="23" t="s">
        <v>58</v>
      </c>
      <c r="J42" s="24" t="s">
        <v>10</v>
      </c>
      <c r="K42" s="25"/>
      <c r="L42" s="25"/>
    </row>
    <row r="43" customFormat="false" ht="15" hidden="false" customHeight="false" outlineLevel="0" collapsed="false">
      <c r="A43" s="20" t="s">
        <v>238</v>
      </c>
      <c r="B43" s="21" t="s">
        <v>14</v>
      </c>
      <c r="C43" s="21" t="s">
        <v>234</v>
      </c>
      <c r="D43" s="21" t="s">
        <v>239</v>
      </c>
      <c r="E43" s="21" t="s">
        <v>240</v>
      </c>
      <c r="F43" s="21" t="s">
        <v>241</v>
      </c>
      <c r="G43" s="22" t="s">
        <v>152</v>
      </c>
      <c r="H43" s="23" t="s">
        <v>57</v>
      </c>
      <c r="I43" s="23" t="s">
        <v>68</v>
      </c>
      <c r="J43" s="24" t="s">
        <v>10</v>
      </c>
      <c r="K43" s="25"/>
      <c r="L43" s="25"/>
    </row>
    <row r="44" customFormat="false" ht="15" hidden="false" customHeight="false" outlineLevel="0" collapsed="false">
      <c r="A44" s="20" t="s">
        <v>242</v>
      </c>
      <c r="B44" s="21" t="s">
        <v>14</v>
      </c>
      <c r="C44" s="21" t="s">
        <v>243</v>
      </c>
      <c r="D44" s="22" t="s">
        <v>244</v>
      </c>
      <c r="E44" s="21" t="s">
        <v>245</v>
      </c>
      <c r="F44" s="21" t="s">
        <v>246</v>
      </c>
      <c r="G44" s="21" t="s">
        <v>56</v>
      </c>
      <c r="H44" s="23" t="s">
        <v>50</v>
      </c>
      <c r="I44" s="23" t="s">
        <v>51</v>
      </c>
      <c r="J44" s="24" t="s">
        <v>11</v>
      </c>
      <c r="K44" s="25"/>
      <c r="L44" s="25"/>
    </row>
    <row r="45" customFormat="false" ht="15" hidden="false" customHeight="false" outlineLevel="0" collapsed="false">
      <c r="A45" s="20" t="s">
        <v>247</v>
      </c>
      <c r="B45" s="21" t="s">
        <v>14</v>
      </c>
      <c r="C45" s="21" t="s">
        <v>243</v>
      </c>
      <c r="D45" s="22" t="s">
        <v>248</v>
      </c>
      <c r="E45" s="22" t="s">
        <v>249</v>
      </c>
      <c r="F45" s="22" t="s">
        <v>250</v>
      </c>
      <c r="G45" s="22" t="s">
        <v>251</v>
      </c>
      <c r="H45" s="23" t="s">
        <v>57</v>
      </c>
      <c r="I45" s="23" t="s">
        <v>87</v>
      </c>
      <c r="J45" s="24" t="s">
        <v>10</v>
      </c>
      <c r="K45" s="25"/>
      <c r="L45" s="25"/>
    </row>
    <row r="46" customFormat="false" ht="15" hidden="false" customHeight="false" outlineLevel="0" collapsed="false">
      <c r="A46" s="20" t="s">
        <v>252</v>
      </c>
      <c r="B46" s="21" t="s">
        <v>14</v>
      </c>
      <c r="C46" s="21" t="s">
        <v>253</v>
      </c>
      <c r="D46" s="21" t="s">
        <v>254</v>
      </c>
      <c r="E46" s="21" t="s">
        <v>255</v>
      </c>
      <c r="F46" s="22" t="s">
        <v>256</v>
      </c>
      <c r="G46" s="22" t="s">
        <v>257</v>
      </c>
      <c r="H46" s="23" t="s">
        <v>50</v>
      </c>
      <c r="I46" s="23" t="s">
        <v>170</v>
      </c>
      <c r="J46" s="24" t="s">
        <v>10</v>
      </c>
      <c r="K46" s="25"/>
      <c r="L46" s="25"/>
    </row>
    <row r="47" customFormat="false" ht="29.85" hidden="false" customHeight="false" outlineLevel="0" collapsed="false">
      <c r="A47" s="20" t="s">
        <v>258</v>
      </c>
      <c r="B47" s="21" t="s">
        <v>14</v>
      </c>
      <c r="C47" s="21" t="s">
        <v>253</v>
      </c>
      <c r="D47" s="22" t="s">
        <v>259</v>
      </c>
      <c r="E47" s="22" t="s">
        <v>260</v>
      </c>
      <c r="F47" s="22" t="s">
        <v>261</v>
      </c>
      <c r="G47" s="22" t="s">
        <v>257</v>
      </c>
      <c r="H47" s="23" t="s">
        <v>50</v>
      </c>
      <c r="I47" s="23" t="s">
        <v>170</v>
      </c>
      <c r="J47" s="24" t="s">
        <v>9</v>
      </c>
      <c r="K47" s="25"/>
      <c r="L47" s="25"/>
    </row>
    <row r="48" customFormat="false" ht="15" hidden="false" customHeight="false" outlineLevel="0" collapsed="false">
      <c r="A48" s="20" t="s">
        <v>262</v>
      </c>
      <c r="B48" s="21" t="s">
        <v>14</v>
      </c>
      <c r="C48" s="21" t="s">
        <v>253</v>
      </c>
      <c r="D48" s="21" t="s">
        <v>263</v>
      </c>
      <c r="E48" s="21" t="s">
        <v>264</v>
      </c>
      <c r="F48" s="21" t="s">
        <v>265</v>
      </c>
      <c r="G48" s="21" t="s">
        <v>56</v>
      </c>
      <c r="H48" s="23" t="s">
        <v>50</v>
      </c>
      <c r="I48" s="23" t="s">
        <v>68</v>
      </c>
      <c r="J48" s="24" t="s">
        <v>10</v>
      </c>
      <c r="K48" s="25"/>
      <c r="L48" s="25"/>
    </row>
    <row r="49" customFormat="false" ht="29.85" hidden="false" customHeight="false" outlineLevel="0" collapsed="false">
      <c r="A49" s="20" t="s">
        <v>266</v>
      </c>
      <c r="B49" s="21" t="s">
        <v>14</v>
      </c>
      <c r="C49" s="21" t="s">
        <v>253</v>
      </c>
      <c r="D49" s="21" t="s">
        <v>267</v>
      </c>
      <c r="E49" s="21" t="s">
        <v>268</v>
      </c>
      <c r="F49" s="22" t="s">
        <v>269</v>
      </c>
      <c r="G49" s="22" t="s">
        <v>257</v>
      </c>
      <c r="H49" s="23" t="s">
        <v>50</v>
      </c>
      <c r="I49" s="23" t="s">
        <v>68</v>
      </c>
      <c r="J49" s="24" t="s">
        <v>10</v>
      </c>
      <c r="K49" s="25"/>
      <c r="L49" s="25"/>
    </row>
    <row r="50" customFormat="false" ht="15" hidden="false" customHeight="false" outlineLevel="0" collapsed="false">
      <c r="A50" s="20" t="s">
        <v>270</v>
      </c>
      <c r="B50" s="21" t="s">
        <v>14</v>
      </c>
      <c r="C50" s="21" t="s">
        <v>253</v>
      </c>
      <c r="D50" s="21" t="s">
        <v>271</v>
      </c>
      <c r="E50" s="21" t="s">
        <v>272</v>
      </c>
      <c r="F50" s="22" t="s">
        <v>273</v>
      </c>
      <c r="G50" s="22" t="s">
        <v>257</v>
      </c>
      <c r="H50" s="23" t="s">
        <v>50</v>
      </c>
      <c r="I50" s="23" t="s">
        <v>77</v>
      </c>
      <c r="J50" s="24" t="s">
        <v>10</v>
      </c>
      <c r="K50" s="25"/>
      <c r="L50" s="25"/>
    </row>
    <row r="51" customFormat="false" ht="15" hidden="false" customHeight="false" outlineLevel="0" collapsed="false">
      <c r="A51" s="20" t="s">
        <v>274</v>
      </c>
      <c r="B51" s="21" t="s">
        <v>14</v>
      </c>
      <c r="C51" s="21" t="s">
        <v>253</v>
      </c>
      <c r="D51" s="21" t="s">
        <v>275</v>
      </c>
      <c r="E51" s="22" t="s">
        <v>276</v>
      </c>
      <c r="F51" s="22" t="s">
        <v>277</v>
      </c>
      <c r="G51" s="22" t="s">
        <v>257</v>
      </c>
      <c r="H51" s="23" t="s">
        <v>50</v>
      </c>
      <c r="I51" s="23" t="s">
        <v>77</v>
      </c>
      <c r="J51" s="24" t="s">
        <v>10</v>
      </c>
      <c r="K51" s="25"/>
      <c r="L51" s="25"/>
    </row>
    <row r="52" customFormat="false" ht="15" hidden="false" customHeight="false" outlineLevel="0" collapsed="false">
      <c r="A52" s="20" t="s">
        <v>278</v>
      </c>
      <c r="B52" s="21" t="s">
        <v>14</v>
      </c>
      <c r="C52" s="21" t="s">
        <v>253</v>
      </c>
      <c r="D52" s="21" t="s">
        <v>279</v>
      </c>
      <c r="E52" s="21" t="s">
        <v>280</v>
      </c>
      <c r="F52" s="21" t="s">
        <v>281</v>
      </c>
      <c r="G52" s="22" t="s">
        <v>257</v>
      </c>
      <c r="H52" s="23" t="s">
        <v>50</v>
      </c>
      <c r="I52" s="23" t="s">
        <v>77</v>
      </c>
      <c r="J52" s="24" t="s">
        <v>10</v>
      </c>
      <c r="K52" s="25"/>
      <c r="L52" s="25"/>
    </row>
    <row r="53" customFormat="false" ht="15" hidden="false" customHeight="false" outlineLevel="0" collapsed="false">
      <c r="A53" s="20" t="s">
        <v>282</v>
      </c>
      <c r="B53" s="21" t="s">
        <v>14</v>
      </c>
      <c r="C53" s="21" t="s">
        <v>253</v>
      </c>
      <c r="D53" s="21" t="s">
        <v>283</v>
      </c>
      <c r="E53" s="22" t="s">
        <v>284</v>
      </c>
      <c r="F53" s="21" t="s">
        <v>285</v>
      </c>
      <c r="G53" s="22" t="s">
        <v>257</v>
      </c>
      <c r="H53" s="23" t="s">
        <v>57</v>
      </c>
      <c r="I53" s="23" t="s">
        <v>170</v>
      </c>
      <c r="J53" s="24" t="s">
        <v>10</v>
      </c>
      <c r="K53" s="25"/>
      <c r="L53" s="25"/>
    </row>
    <row r="54" customFormat="false" ht="15" hidden="false" customHeight="false" outlineLevel="0" collapsed="false">
      <c r="A54" s="20" t="s">
        <v>286</v>
      </c>
      <c r="B54" s="21" t="s">
        <v>14</v>
      </c>
      <c r="C54" s="21" t="s">
        <v>253</v>
      </c>
      <c r="D54" s="21" t="s">
        <v>287</v>
      </c>
      <c r="E54" s="21" t="s">
        <v>288</v>
      </c>
      <c r="F54" s="21" t="s">
        <v>289</v>
      </c>
      <c r="G54" s="22" t="s">
        <v>257</v>
      </c>
      <c r="H54" s="23" t="s">
        <v>57</v>
      </c>
      <c r="I54" s="23" t="s">
        <v>170</v>
      </c>
      <c r="J54" s="24" t="s">
        <v>10</v>
      </c>
      <c r="K54" s="25"/>
      <c r="L54" s="25"/>
    </row>
    <row r="55" customFormat="false" ht="15" hidden="false" customHeight="false" outlineLevel="0" collapsed="false">
      <c r="A55" s="20" t="s">
        <v>290</v>
      </c>
      <c r="B55" s="21" t="s">
        <v>14</v>
      </c>
      <c r="C55" s="21" t="s">
        <v>253</v>
      </c>
      <c r="D55" s="21" t="s">
        <v>291</v>
      </c>
      <c r="E55" s="21" t="s">
        <v>292</v>
      </c>
      <c r="F55" s="22" t="s">
        <v>293</v>
      </c>
      <c r="G55" s="22" t="s">
        <v>257</v>
      </c>
      <c r="H55" s="23" t="s">
        <v>57</v>
      </c>
      <c r="I55" s="23" t="s">
        <v>170</v>
      </c>
      <c r="J55" s="24" t="s">
        <v>10</v>
      </c>
      <c r="K55" s="25"/>
      <c r="L55" s="25"/>
    </row>
    <row r="56" customFormat="false" ht="15" hidden="false" customHeight="false" outlineLevel="0" collapsed="false">
      <c r="A56" s="20" t="s">
        <v>294</v>
      </c>
      <c r="B56" s="21" t="s">
        <v>14</v>
      </c>
      <c r="C56" s="21" t="s">
        <v>253</v>
      </c>
      <c r="D56" s="21" t="s">
        <v>295</v>
      </c>
      <c r="E56" s="22" t="s">
        <v>296</v>
      </c>
      <c r="F56" s="21" t="s">
        <v>297</v>
      </c>
      <c r="G56" s="22" t="s">
        <v>257</v>
      </c>
      <c r="H56" s="23" t="s">
        <v>57</v>
      </c>
      <c r="I56" s="23" t="s">
        <v>170</v>
      </c>
      <c r="J56" s="24" t="s">
        <v>10</v>
      </c>
      <c r="K56" s="25"/>
      <c r="L56" s="25"/>
    </row>
    <row r="57" customFormat="false" ht="15" hidden="false" customHeight="false" outlineLevel="0" collapsed="false">
      <c r="A57" s="20" t="s">
        <v>298</v>
      </c>
      <c r="B57" s="21" t="s">
        <v>14</v>
      </c>
      <c r="C57" s="21" t="s">
        <v>253</v>
      </c>
      <c r="D57" s="21" t="s">
        <v>299</v>
      </c>
      <c r="E57" s="21" t="s">
        <v>300</v>
      </c>
      <c r="F57" s="21" t="s">
        <v>301</v>
      </c>
      <c r="G57" s="22" t="s">
        <v>257</v>
      </c>
      <c r="H57" s="23" t="s">
        <v>50</v>
      </c>
      <c r="I57" s="23" t="s">
        <v>77</v>
      </c>
      <c r="J57" s="24" t="s">
        <v>10</v>
      </c>
      <c r="K57" s="25"/>
      <c r="L57" s="25"/>
    </row>
    <row r="58" customFormat="false" ht="15" hidden="false" customHeight="false" outlineLevel="0" collapsed="false">
      <c r="A58" s="20" t="s">
        <v>302</v>
      </c>
      <c r="B58" s="21" t="s">
        <v>14</v>
      </c>
      <c r="C58" s="21" t="s">
        <v>253</v>
      </c>
      <c r="D58" s="21" t="s">
        <v>303</v>
      </c>
      <c r="E58" s="21" t="s">
        <v>304</v>
      </c>
      <c r="F58" s="21" t="s">
        <v>305</v>
      </c>
      <c r="G58" s="22" t="s">
        <v>257</v>
      </c>
      <c r="H58" s="23" t="s">
        <v>50</v>
      </c>
      <c r="I58" s="23" t="s">
        <v>77</v>
      </c>
      <c r="J58" s="24" t="s">
        <v>10</v>
      </c>
      <c r="K58" s="25"/>
      <c r="L58" s="25"/>
    </row>
    <row r="59" customFormat="false" ht="15" hidden="false" customHeight="false" outlineLevel="0" collapsed="false">
      <c r="A59" s="20" t="s">
        <v>306</v>
      </c>
      <c r="B59" s="21" t="s">
        <v>14</v>
      </c>
      <c r="C59" s="21" t="s">
        <v>253</v>
      </c>
      <c r="D59" s="21" t="s">
        <v>307</v>
      </c>
      <c r="E59" s="21" t="s">
        <v>308</v>
      </c>
      <c r="F59" s="22" t="s">
        <v>309</v>
      </c>
      <c r="G59" s="22" t="s">
        <v>257</v>
      </c>
      <c r="H59" s="23" t="s">
        <v>57</v>
      </c>
      <c r="I59" s="23" t="s">
        <v>170</v>
      </c>
      <c r="J59" s="24" t="s">
        <v>10</v>
      </c>
      <c r="K59" s="25"/>
      <c r="L59" s="25"/>
    </row>
    <row r="60" customFormat="false" ht="15" hidden="false" customHeight="false" outlineLevel="0" collapsed="false">
      <c r="A60" s="20" t="s">
        <v>310</v>
      </c>
      <c r="B60" s="21" t="s">
        <v>14</v>
      </c>
      <c r="C60" s="21" t="s">
        <v>253</v>
      </c>
      <c r="D60" s="21" t="s">
        <v>311</v>
      </c>
      <c r="E60" s="21" t="s">
        <v>312</v>
      </c>
      <c r="F60" s="21" t="s">
        <v>313</v>
      </c>
      <c r="G60" s="22" t="s">
        <v>257</v>
      </c>
      <c r="H60" s="23" t="s">
        <v>50</v>
      </c>
      <c r="I60" s="23" t="s">
        <v>77</v>
      </c>
      <c r="J60" s="24" t="s">
        <v>10</v>
      </c>
      <c r="K60" s="25"/>
      <c r="L60" s="25"/>
    </row>
    <row r="61" customFormat="false" ht="15" hidden="false" customHeight="false" outlineLevel="0" collapsed="false">
      <c r="A61" s="20" t="s">
        <v>314</v>
      </c>
      <c r="B61" s="21" t="s">
        <v>14</v>
      </c>
      <c r="C61" s="22" t="s">
        <v>315</v>
      </c>
      <c r="D61" s="21" t="s">
        <v>316</v>
      </c>
      <c r="E61" s="22" t="s">
        <v>317</v>
      </c>
      <c r="F61" s="21" t="s">
        <v>318</v>
      </c>
      <c r="G61" s="22" t="s">
        <v>152</v>
      </c>
      <c r="H61" s="23" t="s">
        <v>50</v>
      </c>
      <c r="I61" s="23" t="s">
        <v>77</v>
      </c>
      <c r="J61" s="24" t="s">
        <v>10</v>
      </c>
      <c r="K61" s="25"/>
      <c r="L61" s="25"/>
    </row>
    <row r="62" customFormat="false" ht="15" hidden="false" customHeight="false" outlineLevel="0" collapsed="false">
      <c r="A62" s="20" t="s">
        <v>319</v>
      </c>
      <c r="B62" s="21" t="s">
        <v>14</v>
      </c>
      <c r="C62" s="22" t="s">
        <v>315</v>
      </c>
      <c r="D62" s="21" t="s">
        <v>320</v>
      </c>
      <c r="E62" s="21" t="s">
        <v>321</v>
      </c>
      <c r="F62" s="21" t="s">
        <v>322</v>
      </c>
      <c r="G62" s="22" t="s">
        <v>152</v>
      </c>
      <c r="H62" s="23" t="s">
        <v>50</v>
      </c>
      <c r="I62" s="23" t="s">
        <v>77</v>
      </c>
      <c r="J62" s="24" t="s">
        <v>10</v>
      </c>
      <c r="K62" s="25"/>
      <c r="L62" s="25"/>
    </row>
    <row r="63" customFormat="false" ht="15" hidden="false" customHeight="false" outlineLevel="0" collapsed="false">
      <c r="A63" s="20" t="s">
        <v>323</v>
      </c>
      <c r="B63" s="21" t="s">
        <v>14</v>
      </c>
      <c r="C63" s="22" t="s">
        <v>315</v>
      </c>
      <c r="D63" s="21" t="s">
        <v>324</v>
      </c>
      <c r="E63" s="21" t="s">
        <v>325</v>
      </c>
      <c r="F63" s="21" t="s">
        <v>326</v>
      </c>
      <c r="G63" s="22" t="s">
        <v>152</v>
      </c>
      <c r="H63" s="23" t="s">
        <v>57</v>
      </c>
      <c r="I63" s="23" t="s">
        <v>170</v>
      </c>
      <c r="J63" s="24" t="s">
        <v>10</v>
      </c>
      <c r="K63" s="25"/>
      <c r="L63" s="25"/>
    </row>
    <row r="64" customFormat="false" ht="15" hidden="false" customHeight="false" outlineLevel="0" collapsed="false">
      <c r="A64" s="20" t="s">
        <v>327</v>
      </c>
      <c r="B64" s="21" t="s">
        <v>14</v>
      </c>
      <c r="C64" s="22" t="s">
        <v>315</v>
      </c>
      <c r="D64" s="21" t="s">
        <v>328</v>
      </c>
      <c r="E64" s="21" t="s">
        <v>329</v>
      </c>
      <c r="F64" s="21" t="s">
        <v>330</v>
      </c>
      <c r="G64" s="22" t="s">
        <v>207</v>
      </c>
      <c r="H64" s="23" t="s">
        <v>50</v>
      </c>
      <c r="I64" s="23" t="s">
        <v>77</v>
      </c>
      <c r="J64" s="24" t="s">
        <v>10</v>
      </c>
      <c r="K64" s="25"/>
      <c r="L64" s="25"/>
    </row>
    <row r="65" customFormat="false" ht="15" hidden="false" customHeight="false" outlineLevel="0" collapsed="false">
      <c r="A65" s="20" t="s">
        <v>331</v>
      </c>
      <c r="B65" s="21" t="s">
        <v>14</v>
      </c>
      <c r="C65" s="21" t="s">
        <v>332</v>
      </c>
      <c r="D65" s="22" t="s">
        <v>333</v>
      </c>
      <c r="E65" s="22" t="s">
        <v>334</v>
      </c>
      <c r="F65" s="22" t="s">
        <v>335</v>
      </c>
      <c r="G65" s="22" t="s">
        <v>251</v>
      </c>
      <c r="H65" s="23" t="s">
        <v>50</v>
      </c>
      <c r="I65" s="23" t="s">
        <v>87</v>
      </c>
      <c r="J65" s="24" t="s">
        <v>10</v>
      </c>
      <c r="K65" s="25"/>
      <c r="L65" s="25"/>
    </row>
    <row r="66" customFormat="false" ht="15" hidden="false" customHeight="false" outlineLevel="0" collapsed="false">
      <c r="A66" s="20" t="s">
        <v>336</v>
      </c>
      <c r="B66" s="21" t="s">
        <v>14</v>
      </c>
      <c r="C66" s="21" t="s">
        <v>332</v>
      </c>
      <c r="D66" s="22" t="s">
        <v>337</v>
      </c>
      <c r="E66" s="21" t="s">
        <v>338</v>
      </c>
      <c r="F66" s="21" t="s">
        <v>339</v>
      </c>
      <c r="G66" s="21" t="s">
        <v>56</v>
      </c>
      <c r="H66" s="23" t="s">
        <v>50</v>
      </c>
      <c r="I66" s="23" t="s">
        <v>87</v>
      </c>
      <c r="J66" s="24" t="s">
        <v>10</v>
      </c>
      <c r="K66" s="25"/>
      <c r="L66" s="25"/>
    </row>
    <row r="67" customFormat="false" ht="15" hidden="false" customHeight="false" outlineLevel="0" collapsed="false">
      <c r="A67" s="20" t="s">
        <v>340</v>
      </c>
      <c r="B67" s="21" t="s">
        <v>14</v>
      </c>
      <c r="C67" s="21" t="s">
        <v>332</v>
      </c>
      <c r="D67" s="21" t="s">
        <v>341</v>
      </c>
      <c r="E67" s="22" t="s">
        <v>342</v>
      </c>
      <c r="F67" s="21" t="s">
        <v>343</v>
      </c>
      <c r="G67" s="22" t="s">
        <v>251</v>
      </c>
      <c r="H67" s="23" t="s">
        <v>57</v>
      </c>
      <c r="I67" s="23" t="s">
        <v>87</v>
      </c>
      <c r="J67" s="24" t="s">
        <v>10</v>
      </c>
      <c r="K67" s="25"/>
      <c r="L67" s="25"/>
    </row>
    <row r="68" customFormat="false" ht="15" hidden="false" customHeight="false" outlineLevel="0" collapsed="false">
      <c r="A68" s="20" t="s">
        <v>344</v>
      </c>
      <c r="B68" s="21" t="s">
        <v>14</v>
      </c>
      <c r="C68" s="21" t="s">
        <v>332</v>
      </c>
      <c r="D68" s="22" t="s">
        <v>345</v>
      </c>
      <c r="E68" s="21" t="s">
        <v>346</v>
      </c>
      <c r="F68" s="21" t="s">
        <v>347</v>
      </c>
      <c r="G68" s="22" t="s">
        <v>207</v>
      </c>
      <c r="H68" s="23" t="s">
        <v>57</v>
      </c>
      <c r="I68" s="23" t="s">
        <v>77</v>
      </c>
      <c r="J68" s="24" t="s">
        <v>10</v>
      </c>
      <c r="K68" s="25"/>
      <c r="L68" s="25"/>
    </row>
    <row r="69" customFormat="false" ht="15" hidden="false" customHeight="false" outlineLevel="0" collapsed="false">
      <c r="A69" s="20" t="s">
        <v>348</v>
      </c>
      <c r="B69" s="21" t="s">
        <v>14</v>
      </c>
      <c r="C69" s="21" t="s">
        <v>332</v>
      </c>
      <c r="D69" s="21" t="s">
        <v>349</v>
      </c>
      <c r="E69" s="21" t="s">
        <v>350</v>
      </c>
      <c r="F69" s="21" t="s">
        <v>351</v>
      </c>
      <c r="G69" s="22" t="s">
        <v>251</v>
      </c>
      <c r="H69" s="23" t="s">
        <v>57</v>
      </c>
      <c r="I69" s="23" t="s">
        <v>77</v>
      </c>
      <c r="J69" s="24" t="s">
        <v>10</v>
      </c>
      <c r="K69" s="25"/>
      <c r="L69" s="25"/>
    </row>
    <row r="70" customFormat="false" ht="15" hidden="false" customHeight="false" outlineLevel="0" collapsed="false">
      <c r="A70" s="20" t="s">
        <v>352</v>
      </c>
      <c r="B70" s="21" t="s">
        <v>15</v>
      </c>
      <c r="C70" s="21" t="s">
        <v>353</v>
      </c>
      <c r="D70" s="21" t="s">
        <v>354</v>
      </c>
      <c r="E70" s="22" t="s">
        <v>355</v>
      </c>
      <c r="F70" s="21" t="s">
        <v>356</v>
      </c>
      <c r="G70" s="22" t="s">
        <v>152</v>
      </c>
      <c r="H70" s="23" t="s">
        <v>50</v>
      </c>
      <c r="I70" s="23" t="s">
        <v>116</v>
      </c>
      <c r="J70" s="24" t="s">
        <v>3</v>
      </c>
      <c r="K70" s="25"/>
      <c r="L70" s="25"/>
    </row>
    <row r="71" customFormat="false" ht="15" hidden="false" customHeight="false" outlineLevel="0" collapsed="false">
      <c r="A71" s="20" t="s">
        <v>357</v>
      </c>
      <c r="B71" s="21" t="s">
        <v>15</v>
      </c>
      <c r="C71" s="21" t="s">
        <v>353</v>
      </c>
      <c r="D71" s="21" t="s">
        <v>358</v>
      </c>
      <c r="E71" s="21" t="s">
        <v>359</v>
      </c>
      <c r="F71" s="21" t="s">
        <v>356</v>
      </c>
      <c r="G71" s="22" t="s">
        <v>152</v>
      </c>
      <c r="H71" s="23" t="s">
        <v>50</v>
      </c>
      <c r="I71" s="23" t="s">
        <v>116</v>
      </c>
      <c r="J71" s="24" t="s">
        <v>3</v>
      </c>
      <c r="K71" s="25"/>
      <c r="L71" s="25"/>
    </row>
    <row r="72" customFormat="false" ht="15" hidden="false" customHeight="false" outlineLevel="0" collapsed="false">
      <c r="A72" s="20" t="s">
        <v>360</v>
      </c>
      <c r="B72" s="21" t="s">
        <v>15</v>
      </c>
      <c r="C72" s="21" t="s">
        <v>353</v>
      </c>
      <c r="D72" s="21" t="s">
        <v>361</v>
      </c>
      <c r="E72" s="21" t="s">
        <v>362</v>
      </c>
      <c r="F72" s="21" t="s">
        <v>363</v>
      </c>
      <c r="G72" s="22" t="s">
        <v>152</v>
      </c>
      <c r="H72" s="23" t="s">
        <v>50</v>
      </c>
      <c r="I72" s="23" t="s">
        <v>116</v>
      </c>
      <c r="J72" s="24" t="s">
        <v>3</v>
      </c>
      <c r="K72" s="25"/>
      <c r="L72" s="25"/>
    </row>
    <row r="73" customFormat="false" ht="15" hidden="false" customHeight="false" outlineLevel="0" collapsed="false">
      <c r="A73" s="20" t="s">
        <v>364</v>
      </c>
      <c r="B73" s="21" t="s">
        <v>15</v>
      </c>
      <c r="C73" s="21" t="s">
        <v>353</v>
      </c>
      <c r="D73" s="21" t="s">
        <v>365</v>
      </c>
      <c r="E73" s="21" t="s">
        <v>366</v>
      </c>
      <c r="F73" s="21" t="s">
        <v>367</v>
      </c>
      <c r="G73" s="22" t="s">
        <v>152</v>
      </c>
      <c r="H73" s="23" t="s">
        <v>57</v>
      </c>
      <c r="I73" s="23" t="s">
        <v>87</v>
      </c>
      <c r="J73" s="24" t="s">
        <v>10</v>
      </c>
      <c r="K73" s="25"/>
      <c r="L73" s="25"/>
    </row>
    <row r="74" customFormat="false" ht="15" hidden="false" customHeight="false" outlineLevel="0" collapsed="false">
      <c r="A74" s="20" t="s">
        <v>368</v>
      </c>
      <c r="B74" s="21" t="s">
        <v>15</v>
      </c>
      <c r="C74" s="21" t="s">
        <v>369</v>
      </c>
      <c r="D74" s="21" t="s">
        <v>370</v>
      </c>
      <c r="E74" s="21" t="s">
        <v>371</v>
      </c>
      <c r="F74" s="22" t="s">
        <v>372</v>
      </c>
      <c r="G74" s="22" t="s">
        <v>152</v>
      </c>
      <c r="H74" s="23" t="s">
        <v>57</v>
      </c>
      <c r="I74" s="23" t="s">
        <v>87</v>
      </c>
      <c r="J74" s="24" t="s">
        <v>10</v>
      </c>
      <c r="K74" s="25"/>
      <c r="L74" s="25"/>
    </row>
    <row r="75" customFormat="false" ht="15" hidden="false" customHeight="false" outlineLevel="0" collapsed="false">
      <c r="A75" s="20" t="s">
        <v>373</v>
      </c>
      <c r="B75" s="21" t="s">
        <v>15</v>
      </c>
      <c r="C75" s="21" t="s">
        <v>369</v>
      </c>
      <c r="D75" s="21" t="s">
        <v>374</v>
      </c>
      <c r="E75" s="21" t="s">
        <v>375</v>
      </c>
      <c r="F75" s="21" t="s">
        <v>376</v>
      </c>
      <c r="G75" s="22" t="s">
        <v>152</v>
      </c>
      <c r="H75" s="23" t="s">
        <v>50</v>
      </c>
      <c r="I75" s="23" t="s">
        <v>170</v>
      </c>
      <c r="J75" s="24" t="s">
        <v>9</v>
      </c>
      <c r="K75" s="25"/>
      <c r="L75" s="25"/>
    </row>
    <row r="76" customFormat="false" ht="15" hidden="false" customHeight="false" outlineLevel="0" collapsed="false">
      <c r="A76" s="20" t="s">
        <v>377</v>
      </c>
      <c r="B76" s="21" t="s">
        <v>15</v>
      </c>
      <c r="C76" s="21" t="s">
        <v>369</v>
      </c>
      <c r="D76" s="21" t="s">
        <v>378</v>
      </c>
      <c r="E76" s="22" t="s">
        <v>379</v>
      </c>
      <c r="F76" s="21" t="s">
        <v>380</v>
      </c>
      <c r="G76" s="21" t="s">
        <v>56</v>
      </c>
      <c r="H76" s="23" t="s">
        <v>57</v>
      </c>
      <c r="I76" s="23" t="s">
        <v>68</v>
      </c>
      <c r="J76" s="24" t="s">
        <v>11</v>
      </c>
      <c r="K76" s="25"/>
      <c r="L76" s="25"/>
    </row>
    <row r="77" customFormat="false" ht="15" hidden="false" customHeight="false" outlineLevel="0" collapsed="false">
      <c r="A77" s="20" t="s">
        <v>381</v>
      </c>
      <c r="B77" s="21" t="s">
        <v>15</v>
      </c>
      <c r="C77" s="21" t="s">
        <v>369</v>
      </c>
      <c r="D77" s="22" t="s">
        <v>382</v>
      </c>
      <c r="E77" s="21" t="s">
        <v>383</v>
      </c>
      <c r="F77" s="21" t="s">
        <v>384</v>
      </c>
      <c r="G77" s="21" t="s">
        <v>56</v>
      </c>
      <c r="H77" s="23" t="s">
        <v>57</v>
      </c>
      <c r="I77" s="23" t="s">
        <v>68</v>
      </c>
      <c r="J77" s="24" t="s">
        <v>11</v>
      </c>
      <c r="K77" s="25"/>
      <c r="L77" s="25"/>
    </row>
    <row r="78" customFormat="false" ht="15" hidden="false" customHeight="false" outlineLevel="0" collapsed="false">
      <c r="A78" s="20" t="s">
        <v>385</v>
      </c>
      <c r="B78" s="21" t="s">
        <v>15</v>
      </c>
      <c r="C78" s="21" t="s">
        <v>234</v>
      </c>
      <c r="D78" s="21" t="s">
        <v>386</v>
      </c>
      <c r="E78" s="21" t="s">
        <v>387</v>
      </c>
      <c r="F78" s="21" t="s">
        <v>388</v>
      </c>
      <c r="G78" s="22" t="s">
        <v>152</v>
      </c>
      <c r="H78" s="23" t="s">
        <v>57</v>
      </c>
      <c r="I78" s="23" t="s">
        <v>68</v>
      </c>
      <c r="J78" s="24" t="s">
        <v>10</v>
      </c>
      <c r="K78" s="25"/>
      <c r="L78" s="25"/>
    </row>
    <row r="79" customFormat="false" ht="15" hidden="false" customHeight="false" outlineLevel="0" collapsed="false">
      <c r="A79" s="20" t="s">
        <v>389</v>
      </c>
      <c r="B79" s="21" t="s">
        <v>15</v>
      </c>
      <c r="C79" s="21" t="s">
        <v>234</v>
      </c>
      <c r="D79" s="21" t="s">
        <v>390</v>
      </c>
      <c r="E79" s="21" t="s">
        <v>391</v>
      </c>
      <c r="F79" s="21" t="s">
        <v>392</v>
      </c>
      <c r="G79" s="21" t="s">
        <v>56</v>
      </c>
      <c r="H79" s="23" t="s">
        <v>169</v>
      </c>
      <c r="I79" s="23" t="s">
        <v>77</v>
      </c>
      <c r="J79" s="24" t="s">
        <v>10</v>
      </c>
      <c r="K79" s="25"/>
      <c r="L79" s="25"/>
    </row>
    <row r="80" customFormat="false" ht="15" hidden="false" customHeight="false" outlineLevel="0" collapsed="false">
      <c r="A80" s="20" t="s">
        <v>393</v>
      </c>
      <c r="B80" s="21" t="s">
        <v>15</v>
      </c>
      <c r="C80" s="21" t="s">
        <v>394</v>
      </c>
      <c r="D80" s="21" t="s">
        <v>395</v>
      </c>
      <c r="E80" s="21" t="s">
        <v>396</v>
      </c>
      <c r="F80" s="21" t="s">
        <v>397</v>
      </c>
      <c r="G80" s="22" t="s">
        <v>152</v>
      </c>
      <c r="H80" s="23" t="s">
        <v>50</v>
      </c>
      <c r="I80" s="23" t="s">
        <v>170</v>
      </c>
      <c r="J80" s="24" t="s">
        <v>10</v>
      </c>
      <c r="K80" s="25"/>
      <c r="L80" s="25"/>
    </row>
    <row r="81" customFormat="false" ht="15" hidden="false" customHeight="false" outlineLevel="0" collapsed="false">
      <c r="A81" s="20" t="s">
        <v>398</v>
      </c>
      <c r="B81" s="21" t="s">
        <v>15</v>
      </c>
      <c r="C81" s="21" t="s">
        <v>394</v>
      </c>
      <c r="D81" s="21" t="s">
        <v>399</v>
      </c>
      <c r="E81" s="21" t="s">
        <v>400</v>
      </c>
      <c r="F81" s="21" t="s">
        <v>401</v>
      </c>
      <c r="G81" s="22" t="s">
        <v>134</v>
      </c>
      <c r="H81" s="23" t="s">
        <v>57</v>
      </c>
      <c r="I81" s="23" t="s">
        <v>170</v>
      </c>
      <c r="J81" s="24" t="s">
        <v>9</v>
      </c>
      <c r="K81" s="25"/>
      <c r="L81" s="25"/>
    </row>
    <row r="82" customFormat="false" ht="15" hidden="false" customHeight="false" outlineLevel="0" collapsed="false">
      <c r="A82" s="20" t="s">
        <v>402</v>
      </c>
      <c r="B82" s="21" t="s">
        <v>16</v>
      </c>
      <c r="C82" s="21" t="s">
        <v>177</v>
      </c>
      <c r="D82" s="22" t="s">
        <v>403</v>
      </c>
      <c r="E82" s="21" t="s">
        <v>404</v>
      </c>
      <c r="F82" s="21" t="s">
        <v>405</v>
      </c>
      <c r="G82" s="21" t="s">
        <v>56</v>
      </c>
      <c r="H82" s="23" t="s">
        <v>50</v>
      </c>
      <c r="I82" s="23" t="s">
        <v>116</v>
      </c>
      <c r="J82" s="24" t="s">
        <v>3</v>
      </c>
      <c r="K82" s="25"/>
      <c r="L82" s="25"/>
    </row>
    <row r="83" customFormat="false" ht="15" hidden="false" customHeight="false" outlineLevel="0" collapsed="false">
      <c r="A83" s="20" t="s">
        <v>406</v>
      </c>
      <c r="B83" s="21" t="s">
        <v>16</v>
      </c>
      <c r="C83" s="21" t="s">
        <v>177</v>
      </c>
      <c r="D83" s="21" t="s">
        <v>407</v>
      </c>
      <c r="E83" s="21" t="s">
        <v>408</v>
      </c>
      <c r="F83" s="21" t="s">
        <v>409</v>
      </c>
      <c r="G83" s="22" t="s">
        <v>410</v>
      </c>
      <c r="H83" s="23" t="s">
        <v>50</v>
      </c>
      <c r="I83" s="23" t="s">
        <v>68</v>
      </c>
      <c r="J83" s="24" t="s">
        <v>9</v>
      </c>
      <c r="K83" s="25"/>
      <c r="L83" s="25"/>
    </row>
    <row r="84" customFormat="false" ht="15" hidden="false" customHeight="false" outlineLevel="0" collapsed="false">
      <c r="A84" s="20" t="s">
        <v>411</v>
      </c>
      <c r="B84" s="21" t="s">
        <v>16</v>
      </c>
      <c r="C84" s="21" t="s">
        <v>177</v>
      </c>
      <c r="D84" s="21" t="s">
        <v>412</v>
      </c>
      <c r="E84" s="21" t="s">
        <v>413</v>
      </c>
      <c r="F84" s="21" t="s">
        <v>414</v>
      </c>
      <c r="G84" s="22" t="s">
        <v>410</v>
      </c>
      <c r="H84" s="23" t="s">
        <v>50</v>
      </c>
      <c r="I84" s="23" t="s">
        <v>68</v>
      </c>
      <c r="J84" s="24" t="s">
        <v>10</v>
      </c>
      <c r="K84" s="25"/>
      <c r="L84" s="25"/>
    </row>
    <row r="85" customFormat="false" ht="15" hidden="false" customHeight="false" outlineLevel="0" collapsed="false">
      <c r="A85" s="20" t="s">
        <v>415</v>
      </c>
      <c r="B85" s="21" t="s">
        <v>16</v>
      </c>
      <c r="C85" s="21" t="s">
        <v>416</v>
      </c>
      <c r="D85" s="22" t="s">
        <v>417</v>
      </c>
      <c r="E85" s="21" t="s">
        <v>418</v>
      </c>
      <c r="F85" s="21" t="s">
        <v>419</v>
      </c>
      <c r="G85" s="22" t="s">
        <v>207</v>
      </c>
      <c r="H85" s="23" t="s">
        <v>50</v>
      </c>
      <c r="I85" s="23" t="s">
        <v>87</v>
      </c>
      <c r="J85" s="24" t="s">
        <v>10</v>
      </c>
      <c r="K85" s="25"/>
      <c r="L85" s="25"/>
    </row>
    <row r="86" customFormat="false" ht="15" hidden="false" customHeight="false" outlineLevel="0" collapsed="false">
      <c r="A86" s="20" t="s">
        <v>420</v>
      </c>
      <c r="B86" s="21" t="s">
        <v>16</v>
      </c>
      <c r="C86" s="21" t="s">
        <v>416</v>
      </c>
      <c r="D86" s="21" t="s">
        <v>421</v>
      </c>
      <c r="E86" s="21" t="s">
        <v>422</v>
      </c>
      <c r="F86" s="22" t="s">
        <v>423</v>
      </c>
      <c r="G86" s="22" t="s">
        <v>207</v>
      </c>
      <c r="H86" s="23" t="s">
        <v>50</v>
      </c>
      <c r="I86" s="23" t="s">
        <v>87</v>
      </c>
      <c r="J86" s="24" t="s">
        <v>10</v>
      </c>
      <c r="K86" s="25"/>
      <c r="L86" s="25"/>
    </row>
    <row r="87" customFormat="false" ht="15" hidden="false" customHeight="false" outlineLevel="0" collapsed="false">
      <c r="A87" s="20" t="s">
        <v>424</v>
      </c>
      <c r="B87" s="21" t="s">
        <v>16</v>
      </c>
      <c r="C87" s="21" t="s">
        <v>416</v>
      </c>
      <c r="D87" s="21" t="s">
        <v>425</v>
      </c>
      <c r="E87" s="21" t="s">
        <v>426</v>
      </c>
      <c r="F87" s="21" t="s">
        <v>427</v>
      </c>
      <c r="G87" s="22" t="s">
        <v>251</v>
      </c>
      <c r="H87" s="23" t="s">
        <v>50</v>
      </c>
      <c r="I87" s="23" t="s">
        <v>87</v>
      </c>
      <c r="J87" s="24" t="s">
        <v>10</v>
      </c>
      <c r="K87" s="25"/>
      <c r="L87" s="25"/>
    </row>
    <row r="88" customFormat="false" ht="15" hidden="false" customHeight="false" outlineLevel="0" collapsed="false">
      <c r="A88" s="20" t="s">
        <v>428</v>
      </c>
      <c r="B88" s="21" t="s">
        <v>16</v>
      </c>
      <c r="C88" s="21" t="s">
        <v>416</v>
      </c>
      <c r="D88" s="21" t="s">
        <v>429</v>
      </c>
      <c r="E88" s="21" t="s">
        <v>430</v>
      </c>
      <c r="F88" s="21" t="s">
        <v>431</v>
      </c>
      <c r="G88" s="22" t="s">
        <v>152</v>
      </c>
      <c r="H88" s="23" t="s">
        <v>50</v>
      </c>
      <c r="I88" s="23" t="s">
        <v>87</v>
      </c>
      <c r="J88" s="24" t="s">
        <v>10</v>
      </c>
      <c r="K88" s="25"/>
      <c r="L88" s="25"/>
    </row>
    <row r="89" customFormat="false" ht="15" hidden="false" customHeight="false" outlineLevel="0" collapsed="false">
      <c r="A89" s="20" t="s">
        <v>432</v>
      </c>
      <c r="B89" s="21" t="s">
        <v>16</v>
      </c>
      <c r="C89" s="21" t="s">
        <v>433</v>
      </c>
      <c r="D89" s="22" t="s">
        <v>434</v>
      </c>
      <c r="E89" s="21" t="s">
        <v>435</v>
      </c>
      <c r="F89" s="21" t="s">
        <v>436</v>
      </c>
      <c r="G89" s="21" t="s">
        <v>56</v>
      </c>
      <c r="H89" s="23" t="s">
        <v>50</v>
      </c>
      <c r="I89" s="23" t="s">
        <v>77</v>
      </c>
      <c r="J89" s="24" t="s">
        <v>10</v>
      </c>
      <c r="K89" s="25"/>
      <c r="L89" s="25"/>
    </row>
    <row r="90" customFormat="false" ht="15" hidden="false" customHeight="false" outlineLevel="0" collapsed="false">
      <c r="A90" s="20" t="s">
        <v>437</v>
      </c>
      <c r="B90" s="21" t="s">
        <v>16</v>
      </c>
      <c r="C90" s="21" t="s">
        <v>433</v>
      </c>
      <c r="D90" s="21" t="s">
        <v>438</v>
      </c>
      <c r="E90" s="21" t="s">
        <v>439</v>
      </c>
      <c r="F90" s="21" t="s">
        <v>440</v>
      </c>
      <c r="G90" s="22" t="s">
        <v>257</v>
      </c>
      <c r="H90" s="23" t="s">
        <v>50</v>
      </c>
      <c r="I90" s="23" t="s">
        <v>170</v>
      </c>
      <c r="J90" s="24" t="s">
        <v>10</v>
      </c>
      <c r="K90" s="25"/>
      <c r="L90" s="25"/>
    </row>
    <row r="91" customFormat="false" ht="15" hidden="false" customHeight="false" outlineLevel="0" collapsed="false">
      <c r="A91" s="20" t="s">
        <v>441</v>
      </c>
      <c r="B91" s="21" t="s">
        <v>16</v>
      </c>
      <c r="C91" s="21" t="s">
        <v>433</v>
      </c>
      <c r="D91" s="21" t="s">
        <v>442</v>
      </c>
      <c r="E91" s="21" t="s">
        <v>443</v>
      </c>
      <c r="F91" s="21" t="s">
        <v>444</v>
      </c>
      <c r="G91" s="22" t="s">
        <v>257</v>
      </c>
      <c r="H91" s="23" t="s">
        <v>50</v>
      </c>
      <c r="I91" s="23" t="s">
        <v>170</v>
      </c>
      <c r="J91" s="24" t="s">
        <v>10</v>
      </c>
      <c r="K91" s="25"/>
      <c r="L91" s="25"/>
    </row>
    <row r="92" customFormat="false" ht="15" hidden="false" customHeight="false" outlineLevel="0" collapsed="false">
      <c r="A92" s="20" t="s">
        <v>445</v>
      </c>
      <c r="B92" s="21" t="s">
        <v>16</v>
      </c>
      <c r="C92" s="21" t="s">
        <v>433</v>
      </c>
      <c r="D92" s="21" t="s">
        <v>446</v>
      </c>
      <c r="E92" s="21" t="s">
        <v>447</v>
      </c>
      <c r="F92" s="21" t="s">
        <v>448</v>
      </c>
      <c r="G92" s="22" t="s">
        <v>257</v>
      </c>
      <c r="H92" s="23" t="s">
        <v>50</v>
      </c>
      <c r="I92" s="23" t="s">
        <v>170</v>
      </c>
      <c r="J92" s="24" t="s">
        <v>10</v>
      </c>
      <c r="K92" s="25"/>
      <c r="L92" s="25"/>
    </row>
    <row r="93" customFormat="false" ht="15" hidden="false" customHeight="false" outlineLevel="0" collapsed="false">
      <c r="A93" s="20" t="s">
        <v>449</v>
      </c>
      <c r="B93" s="21" t="s">
        <v>16</v>
      </c>
      <c r="C93" s="21" t="s">
        <v>177</v>
      </c>
      <c r="D93" s="21" t="s">
        <v>450</v>
      </c>
      <c r="E93" s="21" t="s">
        <v>451</v>
      </c>
      <c r="F93" s="21" t="s">
        <v>452</v>
      </c>
      <c r="G93" s="22" t="s">
        <v>49</v>
      </c>
      <c r="H93" s="23" t="s">
        <v>57</v>
      </c>
      <c r="I93" s="23" t="s">
        <v>77</v>
      </c>
      <c r="J93" s="24" t="s">
        <v>10</v>
      </c>
      <c r="K93" s="25"/>
      <c r="L93" s="25"/>
    </row>
    <row r="94" customFormat="false" ht="15" hidden="false" customHeight="false" outlineLevel="0" collapsed="false">
      <c r="A94" s="20" t="s">
        <v>453</v>
      </c>
      <c r="B94" s="21" t="s">
        <v>17</v>
      </c>
      <c r="C94" s="21" t="s">
        <v>454</v>
      </c>
      <c r="D94" s="22" t="s">
        <v>455</v>
      </c>
      <c r="E94" s="22" t="s">
        <v>456</v>
      </c>
      <c r="F94" s="22" t="s">
        <v>457</v>
      </c>
      <c r="G94" s="22" t="s">
        <v>197</v>
      </c>
      <c r="H94" s="23" t="s">
        <v>50</v>
      </c>
      <c r="I94" s="23" t="s">
        <v>58</v>
      </c>
      <c r="J94" s="24" t="s">
        <v>10</v>
      </c>
      <c r="K94" s="25"/>
      <c r="L94" s="25"/>
    </row>
    <row r="95" customFormat="false" ht="15" hidden="false" customHeight="false" outlineLevel="0" collapsed="false">
      <c r="A95" s="20" t="s">
        <v>458</v>
      </c>
      <c r="B95" s="21" t="s">
        <v>17</v>
      </c>
      <c r="C95" s="21" t="s">
        <v>454</v>
      </c>
      <c r="D95" s="22" t="s">
        <v>459</v>
      </c>
      <c r="E95" s="21" t="s">
        <v>460</v>
      </c>
      <c r="F95" s="22" t="s">
        <v>461</v>
      </c>
      <c r="G95" s="22" t="s">
        <v>207</v>
      </c>
      <c r="H95" s="23" t="s">
        <v>50</v>
      </c>
      <c r="I95" s="23" t="s">
        <v>87</v>
      </c>
      <c r="J95" s="24" t="s">
        <v>10</v>
      </c>
      <c r="K95" s="25"/>
      <c r="L95" s="25"/>
    </row>
    <row r="96" customFormat="false" ht="15" hidden="false" customHeight="false" outlineLevel="0" collapsed="false">
      <c r="A96" s="20" t="s">
        <v>462</v>
      </c>
      <c r="B96" s="21" t="s">
        <v>17</v>
      </c>
      <c r="C96" s="21" t="s">
        <v>463</v>
      </c>
      <c r="D96" s="21" t="s">
        <v>464</v>
      </c>
      <c r="E96" s="21" t="s">
        <v>465</v>
      </c>
      <c r="F96" s="21" t="s">
        <v>466</v>
      </c>
      <c r="G96" s="22" t="s">
        <v>197</v>
      </c>
      <c r="H96" s="23" t="s">
        <v>50</v>
      </c>
      <c r="I96" s="23" t="s">
        <v>68</v>
      </c>
      <c r="J96" s="24" t="s">
        <v>10</v>
      </c>
      <c r="K96" s="25"/>
      <c r="L96" s="25"/>
    </row>
    <row r="97" customFormat="false" ht="15" hidden="false" customHeight="false" outlineLevel="0" collapsed="false">
      <c r="A97" s="20" t="s">
        <v>467</v>
      </c>
      <c r="B97" s="21" t="s">
        <v>17</v>
      </c>
      <c r="C97" s="21" t="s">
        <v>463</v>
      </c>
      <c r="D97" s="22" t="s">
        <v>468</v>
      </c>
      <c r="E97" s="21" t="s">
        <v>469</v>
      </c>
      <c r="F97" s="21" t="s">
        <v>470</v>
      </c>
      <c r="G97" s="22" t="s">
        <v>197</v>
      </c>
      <c r="H97" s="23" t="s">
        <v>50</v>
      </c>
      <c r="I97" s="23" t="s">
        <v>77</v>
      </c>
      <c r="J97" s="24" t="s">
        <v>10</v>
      </c>
      <c r="K97" s="25"/>
      <c r="L97" s="25"/>
    </row>
    <row r="98" customFormat="false" ht="15" hidden="false" customHeight="false" outlineLevel="0" collapsed="false">
      <c r="A98" s="20" t="s">
        <v>471</v>
      </c>
      <c r="B98" s="21" t="s">
        <v>17</v>
      </c>
      <c r="C98" s="21" t="s">
        <v>463</v>
      </c>
      <c r="D98" s="22" t="s">
        <v>472</v>
      </c>
      <c r="E98" s="22" t="s">
        <v>473</v>
      </c>
      <c r="F98" s="22" t="s">
        <v>474</v>
      </c>
      <c r="G98" s="22" t="s">
        <v>197</v>
      </c>
      <c r="H98" s="23" t="s">
        <v>50</v>
      </c>
      <c r="I98" s="23" t="s">
        <v>170</v>
      </c>
      <c r="J98" s="24" t="s">
        <v>10</v>
      </c>
      <c r="K98" s="25"/>
      <c r="L98" s="25"/>
    </row>
    <row r="99" customFormat="false" ht="15" hidden="false" customHeight="false" outlineLevel="0" collapsed="false">
      <c r="A99" s="20" t="s">
        <v>475</v>
      </c>
      <c r="B99" s="21" t="s">
        <v>17</v>
      </c>
      <c r="C99" s="21" t="s">
        <v>463</v>
      </c>
      <c r="D99" s="21" t="s">
        <v>476</v>
      </c>
      <c r="E99" s="21" t="s">
        <v>477</v>
      </c>
      <c r="F99" s="21" t="s">
        <v>478</v>
      </c>
      <c r="G99" s="22" t="s">
        <v>251</v>
      </c>
      <c r="H99" s="23" t="s">
        <v>50</v>
      </c>
      <c r="I99" s="23" t="s">
        <v>77</v>
      </c>
      <c r="J99" s="24" t="s">
        <v>10</v>
      </c>
      <c r="K99" s="25"/>
      <c r="L99" s="25"/>
    </row>
    <row r="100" customFormat="false" ht="15" hidden="false" customHeight="false" outlineLevel="0" collapsed="false">
      <c r="A100" s="20" t="s">
        <v>479</v>
      </c>
      <c r="B100" s="21" t="s">
        <v>17</v>
      </c>
      <c r="C100" s="21" t="s">
        <v>463</v>
      </c>
      <c r="D100" s="21" t="s">
        <v>480</v>
      </c>
      <c r="E100" s="21" t="s">
        <v>481</v>
      </c>
      <c r="F100" s="21" t="s">
        <v>482</v>
      </c>
      <c r="G100" s="22" t="s">
        <v>49</v>
      </c>
      <c r="H100" s="23" t="s">
        <v>50</v>
      </c>
      <c r="I100" s="23" t="s">
        <v>77</v>
      </c>
      <c r="J100" s="24" t="s">
        <v>10</v>
      </c>
      <c r="K100" s="25"/>
      <c r="L100" s="25"/>
    </row>
    <row r="101" customFormat="false" ht="15" hidden="false" customHeight="false" outlineLevel="0" collapsed="false">
      <c r="A101" s="20" t="s">
        <v>483</v>
      </c>
      <c r="B101" s="21" t="s">
        <v>17</v>
      </c>
      <c r="C101" s="21" t="s">
        <v>463</v>
      </c>
      <c r="D101" s="21" t="s">
        <v>484</v>
      </c>
      <c r="E101" s="21" t="s">
        <v>485</v>
      </c>
      <c r="F101" s="21" t="s">
        <v>486</v>
      </c>
      <c r="G101" s="22" t="s">
        <v>257</v>
      </c>
      <c r="H101" s="23" t="s">
        <v>57</v>
      </c>
      <c r="I101" s="23" t="s">
        <v>170</v>
      </c>
      <c r="J101" s="24" t="s">
        <v>10</v>
      </c>
      <c r="K101" s="25"/>
      <c r="L101" s="25"/>
    </row>
    <row r="102" customFormat="false" ht="15" hidden="false" customHeight="false" outlineLevel="0" collapsed="false">
      <c r="A102" s="20" t="s">
        <v>487</v>
      </c>
      <c r="B102" s="21" t="s">
        <v>18</v>
      </c>
      <c r="C102" s="21" t="s">
        <v>488</v>
      </c>
      <c r="D102" s="21" t="s">
        <v>489</v>
      </c>
      <c r="E102" s="21" t="s">
        <v>490</v>
      </c>
      <c r="F102" s="21" t="s">
        <v>491</v>
      </c>
      <c r="G102" s="21" t="s">
        <v>56</v>
      </c>
      <c r="H102" s="23" t="s">
        <v>50</v>
      </c>
      <c r="I102" s="23" t="s">
        <v>68</v>
      </c>
      <c r="J102" s="24" t="s">
        <v>10</v>
      </c>
      <c r="K102" s="25"/>
      <c r="L102" s="25"/>
    </row>
    <row r="103" customFormat="false" ht="15" hidden="false" customHeight="false" outlineLevel="0" collapsed="false">
      <c r="A103" s="20" t="s">
        <v>492</v>
      </c>
      <c r="B103" s="21" t="s">
        <v>18</v>
      </c>
      <c r="C103" s="21" t="s">
        <v>488</v>
      </c>
      <c r="D103" s="21" t="s">
        <v>493</v>
      </c>
      <c r="E103" s="21" t="s">
        <v>494</v>
      </c>
      <c r="F103" s="21" t="s">
        <v>495</v>
      </c>
      <c r="G103" s="21" t="s">
        <v>56</v>
      </c>
      <c r="H103" s="23" t="s">
        <v>50</v>
      </c>
      <c r="I103" s="23" t="s">
        <v>68</v>
      </c>
      <c r="J103" s="24" t="s">
        <v>10</v>
      </c>
      <c r="K103" s="25"/>
      <c r="L103" s="25"/>
    </row>
    <row r="104" customFormat="false" ht="15" hidden="false" customHeight="false" outlineLevel="0" collapsed="false">
      <c r="A104" s="20" t="s">
        <v>496</v>
      </c>
      <c r="B104" s="21" t="s">
        <v>18</v>
      </c>
      <c r="C104" s="21" t="s">
        <v>488</v>
      </c>
      <c r="D104" s="22" t="s">
        <v>497</v>
      </c>
      <c r="E104" s="21" t="s">
        <v>498</v>
      </c>
      <c r="F104" s="21" t="s">
        <v>499</v>
      </c>
      <c r="G104" s="22" t="s">
        <v>500</v>
      </c>
      <c r="H104" s="23" t="s">
        <v>57</v>
      </c>
      <c r="I104" s="23" t="s">
        <v>77</v>
      </c>
      <c r="J104" s="24" t="s">
        <v>10</v>
      </c>
      <c r="K104" s="25"/>
      <c r="L104" s="25"/>
    </row>
    <row r="105" customFormat="false" ht="15" hidden="false" customHeight="false" outlineLevel="0" collapsed="false">
      <c r="A105" s="20" t="s">
        <v>501</v>
      </c>
      <c r="B105" s="21" t="s">
        <v>18</v>
      </c>
      <c r="C105" s="21" t="s">
        <v>488</v>
      </c>
      <c r="D105" s="21" t="s">
        <v>502</v>
      </c>
      <c r="E105" s="21" t="s">
        <v>503</v>
      </c>
      <c r="F105" s="21" t="s">
        <v>504</v>
      </c>
      <c r="G105" s="22" t="s">
        <v>134</v>
      </c>
      <c r="H105" s="23" t="s">
        <v>57</v>
      </c>
      <c r="I105" s="23" t="s">
        <v>170</v>
      </c>
      <c r="J105" s="24" t="s">
        <v>10</v>
      </c>
      <c r="K105" s="25"/>
      <c r="L105" s="25"/>
    </row>
    <row r="106" customFormat="false" ht="15" hidden="false" customHeight="false" outlineLevel="0" collapsed="false">
      <c r="A106" s="20" t="s">
        <v>505</v>
      </c>
      <c r="B106" s="21" t="s">
        <v>18</v>
      </c>
      <c r="C106" s="21" t="s">
        <v>506</v>
      </c>
      <c r="D106" s="21" t="s">
        <v>507</v>
      </c>
      <c r="E106" s="21" t="s">
        <v>508</v>
      </c>
      <c r="F106" s="21" t="s">
        <v>509</v>
      </c>
      <c r="G106" s="22" t="s">
        <v>251</v>
      </c>
      <c r="H106" s="23" t="s">
        <v>57</v>
      </c>
      <c r="I106" s="23" t="s">
        <v>170</v>
      </c>
      <c r="J106" s="24" t="s">
        <v>10</v>
      </c>
      <c r="K106" s="25"/>
      <c r="L106" s="25"/>
    </row>
    <row r="107" customFormat="false" ht="15" hidden="false" customHeight="false" outlineLevel="0" collapsed="false">
      <c r="A107" s="20" t="s">
        <v>510</v>
      </c>
      <c r="B107" s="21" t="s">
        <v>18</v>
      </c>
      <c r="C107" s="21" t="s">
        <v>506</v>
      </c>
      <c r="D107" s="21" t="s">
        <v>511</v>
      </c>
      <c r="E107" s="21" t="s">
        <v>512</v>
      </c>
      <c r="F107" s="22" t="s">
        <v>513</v>
      </c>
      <c r="G107" s="22" t="s">
        <v>251</v>
      </c>
      <c r="H107" s="23" t="s">
        <v>57</v>
      </c>
      <c r="I107" s="23" t="s">
        <v>170</v>
      </c>
      <c r="J107" s="24" t="s">
        <v>10</v>
      </c>
      <c r="K107" s="25"/>
      <c r="L107" s="25"/>
    </row>
    <row r="108" customFormat="false" ht="15" hidden="false" customHeight="false" outlineLevel="0" collapsed="false">
      <c r="A108" s="20" t="s">
        <v>514</v>
      </c>
      <c r="B108" s="21" t="s">
        <v>18</v>
      </c>
      <c r="C108" s="21" t="s">
        <v>506</v>
      </c>
      <c r="D108" s="21" t="s">
        <v>515</v>
      </c>
      <c r="E108" s="22" t="s">
        <v>516</v>
      </c>
      <c r="F108" s="21" t="s">
        <v>517</v>
      </c>
      <c r="G108" s="21" t="s">
        <v>56</v>
      </c>
      <c r="H108" s="23" t="s">
        <v>50</v>
      </c>
      <c r="I108" s="23" t="s">
        <v>175</v>
      </c>
      <c r="J108" s="24" t="s">
        <v>10</v>
      </c>
      <c r="K108" s="25"/>
      <c r="L108" s="25"/>
    </row>
    <row r="109" customFormat="false" ht="15" hidden="false" customHeight="false" outlineLevel="0" collapsed="false">
      <c r="A109" s="20" t="s">
        <v>518</v>
      </c>
      <c r="B109" s="21" t="s">
        <v>18</v>
      </c>
      <c r="C109" s="21" t="s">
        <v>506</v>
      </c>
      <c r="D109" s="21" t="s">
        <v>519</v>
      </c>
      <c r="E109" s="21" t="s">
        <v>520</v>
      </c>
      <c r="F109" s="21" t="s">
        <v>521</v>
      </c>
      <c r="G109" s="22" t="s">
        <v>197</v>
      </c>
      <c r="H109" s="23" t="s">
        <v>57</v>
      </c>
      <c r="I109" s="23" t="s">
        <v>175</v>
      </c>
      <c r="J109" s="24" t="s">
        <v>10</v>
      </c>
      <c r="K109" s="25"/>
      <c r="L109" s="25"/>
    </row>
    <row r="110" customFormat="false" ht="15" hidden="false" customHeight="false" outlineLevel="0" collapsed="false">
      <c r="A110" s="20" t="s">
        <v>522</v>
      </c>
      <c r="B110" s="21" t="s">
        <v>18</v>
      </c>
      <c r="C110" s="21" t="s">
        <v>523</v>
      </c>
      <c r="D110" s="21" t="s">
        <v>524</v>
      </c>
      <c r="E110" s="21" t="s">
        <v>525</v>
      </c>
      <c r="F110" s="21" t="s">
        <v>526</v>
      </c>
      <c r="G110" s="21" t="s">
        <v>56</v>
      </c>
      <c r="H110" s="23" t="s">
        <v>50</v>
      </c>
      <c r="I110" s="23" t="s">
        <v>58</v>
      </c>
      <c r="J110" s="24" t="s">
        <v>10</v>
      </c>
      <c r="K110" s="25"/>
      <c r="L110" s="25"/>
    </row>
    <row r="111" customFormat="false" ht="15" hidden="false" customHeight="false" outlineLevel="0" collapsed="false">
      <c r="A111" s="20" t="s">
        <v>527</v>
      </c>
      <c r="B111" s="21" t="s">
        <v>18</v>
      </c>
      <c r="C111" s="21" t="s">
        <v>523</v>
      </c>
      <c r="D111" s="21" t="s">
        <v>528</v>
      </c>
      <c r="E111" s="22" t="s">
        <v>529</v>
      </c>
      <c r="F111" s="21" t="s">
        <v>530</v>
      </c>
      <c r="G111" s="22" t="s">
        <v>500</v>
      </c>
      <c r="H111" s="23" t="s">
        <v>50</v>
      </c>
      <c r="I111" s="23" t="s">
        <v>58</v>
      </c>
      <c r="J111" s="24" t="s">
        <v>10</v>
      </c>
      <c r="K111" s="25"/>
      <c r="L111" s="25"/>
    </row>
    <row r="112" customFormat="false" ht="15" hidden="false" customHeight="false" outlineLevel="0" collapsed="false">
      <c r="A112" s="20" t="s">
        <v>531</v>
      </c>
      <c r="B112" s="21" t="s">
        <v>18</v>
      </c>
      <c r="C112" s="21" t="s">
        <v>523</v>
      </c>
      <c r="D112" s="21" t="s">
        <v>532</v>
      </c>
      <c r="E112" s="21" t="s">
        <v>533</v>
      </c>
      <c r="F112" s="21" t="s">
        <v>534</v>
      </c>
      <c r="G112" s="21" t="s">
        <v>56</v>
      </c>
      <c r="H112" s="23" t="s">
        <v>50</v>
      </c>
      <c r="I112" s="23" t="s">
        <v>175</v>
      </c>
      <c r="J112" s="24" t="s">
        <v>10</v>
      </c>
      <c r="K112" s="25"/>
      <c r="L112" s="25"/>
    </row>
    <row r="113" customFormat="false" ht="15" hidden="false" customHeight="false" outlineLevel="0" collapsed="false">
      <c r="A113" s="20" t="s">
        <v>535</v>
      </c>
      <c r="B113" s="21" t="s">
        <v>18</v>
      </c>
      <c r="C113" s="21" t="s">
        <v>536</v>
      </c>
      <c r="D113" s="21" t="s">
        <v>537</v>
      </c>
      <c r="E113" s="21" t="s">
        <v>538</v>
      </c>
      <c r="F113" s="21" t="s">
        <v>539</v>
      </c>
      <c r="G113" s="22" t="s">
        <v>134</v>
      </c>
      <c r="H113" s="23" t="s">
        <v>57</v>
      </c>
      <c r="I113" s="23" t="s">
        <v>175</v>
      </c>
      <c r="J113" s="24" t="s">
        <v>10</v>
      </c>
      <c r="K113" s="25"/>
      <c r="L113" s="25"/>
    </row>
    <row r="114" customFormat="false" ht="15" hidden="false" customHeight="false" outlineLevel="0" collapsed="false">
      <c r="A114" s="20" t="s">
        <v>540</v>
      </c>
      <c r="B114" s="21" t="s">
        <v>18</v>
      </c>
      <c r="C114" s="21" t="s">
        <v>536</v>
      </c>
      <c r="D114" s="21" t="s">
        <v>541</v>
      </c>
      <c r="E114" s="21" t="s">
        <v>542</v>
      </c>
      <c r="F114" s="21" t="s">
        <v>543</v>
      </c>
      <c r="G114" s="22" t="s">
        <v>134</v>
      </c>
      <c r="H114" s="23" t="s">
        <v>57</v>
      </c>
      <c r="I114" s="23" t="s">
        <v>175</v>
      </c>
      <c r="J114" s="24" t="s">
        <v>10</v>
      </c>
      <c r="K114" s="25"/>
      <c r="L114" s="25"/>
    </row>
    <row r="115" customFormat="false" ht="15" hidden="false" customHeight="false" outlineLevel="0" collapsed="false">
      <c r="A115" s="20" t="s">
        <v>544</v>
      </c>
      <c r="B115" s="21" t="s">
        <v>19</v>
      </c>
      <c r="C115" s="21" t="s">
        <v>545</v>
      </c>
      <c r="D115" s="21" t="s">
        <v>546</v>
      </c>
      <c r="E115" s="21" t="s">
        <v>547</v>
      </c>
      <c r="F115" s="21" t="s">
        <v>548</v>
      </c>
      <c r="G115" s="22" t="s">
        <v>257</v>
      </c>
      <c r="H115" s="23" t="s">
        <v>50</v>
      </c>
      <c r="I115" s="23" t="s">
        <v>549</v>
      </c>
      <c r="J115" s="24" t="s">
        <v>10</v>
      </c>
      <c r="K115" s="25"/>
      <c r="L115" s="25"/>
    </row>
    <row r="116" customFormat="false" ht="15" hidden="false" customHeight="false" outlineLevel="0" collapsed="false">
      <c r="A116" s="20" t="s">
        <v>550</v>
      </c>
      <c r="B116" s="21" t="s">
        <v>19</v>
      </c>
      <c r="C116" s="21" t="s">
        <v>545</v>
      </c>
      <c r="D116" s="21" t="s">
        <v>551</v>
      </c>
      <c r="E116" s="21" t="s">
        <v>552</v>
      </c>
      <c r="F116" s="21" t="s">
        <v>553</v>
      </c>
      <c r="G116" s="22" t="s">
        <v>500</v>
      </c>
      <c r="H116" s="23" t="s">
        <v>50</v>
      </c>
      <c r="I116" s="23" t="s">
        <v>549</v>
      </c>
      <c r="J116" s="24" t="s">
        <v>10</v>
      </c>
      <c r="K116" s="25"/>
      <c r="L116" s="25"/>
    </row>
    <row r="117" customFormat="false" ht="15" hidden="false" customHeight="false" outlineLevel="0" collapsed="false">
      <c r="A117" s="20" t="s">
        <v>554</v>
      </c>
      <c r="B117" s="21" t="s">
        <v>19</v>
      </c>
      <c r="C117" s="21" t="s">
        <v>545</v>
      </c>
      <c r="D117" s="21" t="s">
        <v>555</v>
      </c>
      <c r="E117" s="21" t="s">
        <v>556</v>
      </c>
      <c r="F117" s="21" t="s">
        <v>557</v>
      </c>
      <c r="G117" s="22" t="s">
        <v>257</v>
      </c>
      <c r="H117" s="23" t="s">
        <v>50</v>
      </c>
      <c r="I117" s="23" t="s">
        <v>549</v>
      </c>
      <c r="J117" s="24" t="s">
        <v>10</v>
      </c>
      <c r="K117" s="25"/>
      <c r="L117" s="25"/>
    </row>
    <row r="118" customFormat="false" ht="15" hidden="false" customHeight="false" outlineLevel="0" collapsed="false">
      <c r="A118" s="20" t="s">
        <v>558</v>
      </c>
      <c r="B118" s="21" t="s">
        <v>19</v>
      </c>
      <c r="C118" s="21" t="s">
        <v>545</v>
      </c>
      <c r="D118" s="21" t="s">
        <v>559</v>
      </c>
      <c r="E118" s="21" t="s">
        <v>560</v>
      </c>
      <c r="F118" s="21" t="s">
        <v>561</v>
      </c>
      <c r="G118" s="21" t="s">
        <v>56</v>
      </c>
      <c r="H118" s="23" t="s">
        <v>50</v>
      </c>
      <c r="I118" s="23" t="s">
        <v>562</v>
      </c>
      <c r="J118" s="24" t="s">
        <v>10</v>
      </c>
      <c r="K118" s="25"/>
      <c r="L118" s="25"/>
    </row>
    <row r="119" customFormat="false" ht="15" hidden="false" customHeight="false" outlineLevel="0" collapsed="false">
      <c r="A119" s="20" t="s">
        <v>563</v>
      </c>
      <c r="B119" s="21" t="s">
        <v>19</v>
      </c>
      <c r="C119" s="21" t="s">
        <v>564</v>
      </c>
      <c r="D119" s="21" t="s">
        <v>565</v>
      </c>
      <c r="E119" s="21" t="s">
        <v>566</v>
      </c>
      <c r="F119" s="21" t="s">
        <v>567</v>
      </c>
      <c r="G119" s="22" t="s">
        <v>257</v>
      </c>
      <c r="H119" s="23" t="s">
        <v>50</v>
      </c>
      <c r="I119" s="23" t="s">
        <v>568</v>
      </c>
      <c r="J119" s="24" t="s">
        <v>10</v>
      </c>
      <c r="K119" s="25"/>
      <c r="L119" s="25"/>
    </row>
    <row r="120" customFormat="false" ht="15" hidden="false" customHeight="false" outlineLevel="0" collapsed="false">
      <c r="A120" s="20" t="s">
        <v>569</v>
      </c>
      <c r="B120" s="21" t="s">
        <v>19</v>
      </c>
      <c r="C120" s="21" t="s">
        <v>564</v>
      </c>
      <c r="D120" s="21" t="s">
        <v>570</v>
      </c>
      <c r="E120" s="21" t="s">
        <v>571</v>
      </c>
      <c r="F120" s="21" t="s">
        <v>572</v>
      </c>
      <c r="G120" s="21" t="s">
        <v>56</v>
      </c>
      <c r="H120" s="23" t="s">
        <v>50</v>
      </c>
      <c r="I120" s="23" t="s">
        <v>573</v>
      </c>
      <c r="J120" s="24" t="s">
        <v>10</v>
      </c>
      <c r="K120" s="25"/>
      <c r="L120" s="25"/>
    </row>
    <row r="121" customFormat="false" ht="15" hidden="false" customHeight="false" outlineLevel="0" collapsed="false">
      <c r="A121" s="20" t="s">
        <v>574</v>
      </c>
      <c r="B121" s="21" t="s">
        <v>19</v>
      </c>
      <c r="C121" s="21" t="s">
        <v>564</v>
      </c>
      <c r="D121" s="22" t="s">
        <v>575</v>
      </c>
      <c r="E121" s="21" t="s">
        <v>576</v>
      </c>
      <c r="F121" s="21" t="s">
        <v>577</v>
      </c>
      <c r="G121" s="22" t="s">
        <v>197</v>
      </c>
      <c r="H121" s="23" t="s">
        <v>50</v>
      </c>
      <c r="I121" s="23" t="s">
        <v>573</v>
      </c>
      <c r="J121" s="24" t="s">
        <v>10</v>
      </c>
      <c r="K121" s="25"/>
      <c r="L121" s="25"/>
    </row>
    <row r="122" customFormat="false" ht="15" hidden="false" customHeight="false" outlineLevel="0" collapsed="false">
      <c r="A122" s="20" t="s">
        <v>578</v>
      </c>
      <c r="B122" s="21" t="s">
        <v>19</v>
      </c>
      <c r="C122" s="21" t="s">
        <v>564</v>
      </c>
      <c r="D122" s="21" t="s">
        <v>579</v>
      </c>
      <c r="E122" s="21" t="s">
        <v>580</v>
      </c>
      <c r="F122" s="21" t="s">
        <v>581</v>
      </c>
      <c r="G122" s="22" t="s">
        <v>207</v>
      </c>
      <c r="H122" s="23" t="s">
        <v>50</v>
      </c>
      <c r="I122" s="23" t="s">
        <v>573</v>
      </c>
      <c r="J122" s="24" t="s">
        <v>10</v>
      </c>
      <c r="K122" s="25"/>
      <c r="L122" s="25"/>
    </row>
    <row r="123" customFormat="false" ht="15" hidden="false" customHeight="false" outlineLevel="0" collapsed="false">
      <c r="A123" s="20" t="s">
        <v>582</v>
      </c>
      <c r="B123" s="21" t="s">
        <v>19</v>
      </c>
      <c r="C123" s="21" t="s">
        <v>564</v>
      </c>
      <c r="D123" s="22" t="s">
        <v>583</v>
      </c>
      <c r="E123" s="21" t="s">
        <v>584</v>
      </c>
      <c r="F123" s="22" t="s">
        <v>585</v>
      </c>
      <c r="G123" s="21" t="s">
        <v>56</v>
      </c>
      <c r="H123" s="23" t="s">
        <v>50</v>
      </c>
      <c r="I123" s="23" t="s">
        <v>586</v>
      </c>
      <c r="J123" s="24" t="s">
        <v>10</v>
      </c>
      <c r="K123" s="25"/>
      <c r="L123" s="25"/>
    </row>
    <row r="124" customFormat="false" ht="15" hidden="false" customHeight="false" outlineLevel="0" collapsed="false">
      <c r="A124" s="20" t="s">
        <v>587</v>
      </c>
      <c r="B124" s="21" t="s">
        <v>19</v>
      </c>
      <c r="C124" s="21" t="s">
        <v>564</v>
      </c>
      <c r="D124" s="21" t="s">
        <v>588</v>
      </c>
      <c r="E124" s="21" t="s">
        <v>589</v>
      </c>
      <c r="F124" s="21" t="s">
        <v>590</v>
      </c>
      <c r="G124" s="22" t="s">
        <v>500</v>
      </c>
      <c r="H124" s="23" t="s">
        <v>57</v>
      </c>
      <c r="I124" s="23" t="s">
        <v>586</v>
      </c>
      <c r="J124" s="24" t="s">
        <v>10</v>
      </c>
      <c r="K124" s="25"/>
      <c r="L124" s="25"/>
    </row>
  </sheetData>
  <autoFilter ref="A1:L124"/>
  <conditionalFormatting sqref="A2:L124">
    <cfRule type="cellIs" priority="2" operator="equal" aboveAverage="0" equalAverage="0" bottom="0" percent="0" rank="0" text="" dxfId="8">
      <formula>$J2="완료"</formula>
    </cfRule>
  </conditionalFormatting>
  <conditionalFormatting sqref="J2:J124">
    <cfRule type="cellIs" priority="3" operator="equal" aboveAverage="0" equalAverage="0" bottom="0" percent="0" rank="0" text="" dxfId="9">
      <formula>"차단"</formula>
    </cfRule>
    <cfRule type="cellIs" priority="4" operator="equal" aboveAverage="0" equalAverage="0" bottom="0" percent="0" rank="0" text="" dxfId="10">
      <formula>"진행중"</formula>
    </cfRule>
  </conditionalFormatting>
  <dataValidations count="1">
    <dataValidation allowBlank="true" error="완료 / 진행중 / 대기 / 차단 / 해당없음 중에서 골라주세요" errorStyle="stop" operator="between" showDropDown="false" showErrorMessage="false" showInputMessage="false" sqref="J2:J124" type="list">
      <formula1>"완료,진행중,대기,차단,해당없음"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46"/>
  </cols>
  <sheetData>
    <row r="2" customFormat="false" ht="23.85" hidden="false" customHeight="false" outlineLevel="0" collapsed="false">
      <c r="B2" s="26" t="s">
        <v>591</v>
      </c>
    </row>
    <row r="3" customFormat="false" ht="15" hidden="false" customHeight="false" outlineLevel="0" collapsed="false">
      <c r="B3" s="27" t="s">
        <v>592</v>
      </c>
    </row>
    <row r="5" customFormat="false" ht="24" hidden="false" customHeight="true" outlineLevel="0" collapsed="false">
      <c r="B5" s="28" t="s">
        <v>593</v>
      </c>
      <c r="C5" s="28" t="s">
        <v>594</v>
      </c>
      <c r="D5" s="28" t="s">
        <v>595</v>
      </c>
      <c r="E5" s="28" t="s">
        <v>596</v>
      </c>
    </row>
    <row r="6" customFormat="false" ht="57.75" hidden="false" customHeight="true" outlineLevel="0" collapsed="false">
      <c r="B6" s="29" t="s">
        <v>597</v>
      </c>
      <c r="C6" s="30" t="s">
        <v>598</v>
      </c>
      <c r="D6" s="31" t="s">
        <v>599</v>
      </c>
      <c r="E6" s="30" t="s">
        <v>600</v>
      </c>
    </row>
    <row r="7" customFormat="false" ht="57.75" hidden="false" customHeight="true" outlineLevel="0" collapsed="false">
      <c r="B7" s="32" t="s">
        <v>601</v>
      </c>
      <c r="C7" s="21" t="s">
        <v>602</v>
      </c>
      <c r="D7" s="21" t="s">
        <v>603</v>
      </c>
      <c r="E7" s="21" t="s">
        <v>604</v>
      </c>
    </row>
    <row r="8" customFormat="false" ht="57.75" hidden="false" customHeight="true" outlineLevel="0" collapsed="false">
      <c r="B8" s="29" t="s">
        <v>605</v>
      </c>
      <c r="C8" s="30" t="s">
        <v>606</v>
      </c>
      <c r="D8" s="30" t="s">
        <v>607</v>
      </c>
      <c r="E8" s="30" t="s">
        <v>608</v>
      </c>
    </row>
    <row r="9" customFormat="false" ht="57.75" hidden="false" customHeight="true" outlineLevel="0" collapsed="false">
      <c r="B9" s="32" t="s">
        <v>609</v>
      </c>
      <c r="C9" s="22" t="s">
        <v>610</v>
      </c>
      <c r="D9" s="21" t="s">
        <v>611</v>
      </c>
      <c r="E9" s="21" t="s">
        <v>612</v>
      </c>
    </row>
    <row r="10" customFormat="false" ht="57.75" hidden="false" customHeight="true" outlineLevel="0" collapsed="false">
      <c r="B10" s="29" t="s">
        <v>613</v>
      </c>
      <c r="C10" s="30" t="s">
        <v>203</v>
      </c>
      <c r="D10" s="30" t="s">
        <v>614</v>
      </c>
      <c r="E10" s="30" t="s">
        <v>615</v>
      </c>
    </row>
    <row r="11" customFormat="false" ht="57.75" hidden="false" customHeight="true" outlineLevel="0" collapsed="false">
      <c r="B11" s="32" t="s">
        <v>616</v>
      </c>
      <c r="C11" s="21" t="s">
        <v>617</v>
      </c>
      <c r="D11" s="21" t="s">
        <v>618</v>
      </c>
      <c r="E11" s="21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2026-08-05T08:21:41Z</dcterms:created>
  <dc:creator>openpyxl</dc:creator>
  <dc:description/>
  <dc:language>en-US</dc:language>
  <cp:lastModifiedBy/>
  <dcterms:modified xsi:type="dcterms:W3CDTF">2026-08-05T08:21:41Z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